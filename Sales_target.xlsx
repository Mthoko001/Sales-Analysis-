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nonhl\OneDrive\Desktop\Mthoko\DA 2026\Sales Analysis\"/>
    </mc:Choice>
  </mc:AlternateContent>
  <xr:revisionPtr revIDLastSave="0" documentId="13_ncr:1_{58AEA639-249E-4420-9DCB-089D91372BED}" xr6:coauthVersionLast="47" xr6:coauthVersionMax="47" xr10:uidLastSave="{00000000-0000-0000-0000-000000000000}"/>
  <bookViews>
    <workbookView xWindow="-108" yWindow="-108" windowWidth="23256" windowHeight="12456" activeTab="1" xr2:uid="{BC4DC3E6-14C4-4DC6-86F0-BF2536D61FC4}"/>
  </bookViews>
  <sheets>
    <sheet name="Report Data" sheetId="4" r:id="rId1"/>
    <sheet name="Sales Data" sheetId="2" r:id="rId2"/>
  </sheets>
  <definedNames>
    <definedName name="ExternalData_1" localSheetId="1" hidden="1">'Sales Data'!$A$1:$J$731</definedName>
    <definedName name="Slicer_Product_Name">#N/A</definedName>
  </definedNames>
  <calcPr calcId="191029"/>
  <pivotCaches>
    <pivotCache cacheId="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2" l="1"/>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D10A69-5DFD-4E38-A5BF-B611EEB01FB4}" keepAlive="1" name="Query - actual_vs_target_sales_dataset" description="Connection to the 'actual_vs_target_sales_dataset' query in the workbook." type="5" refreshedVersion="8" background="1" saveData="1">
    <dbPr connection="Provider=Microsoft.Mashup.OleDb.1;Data Source=$Workbook$;Location=actual_vs_target_sales_dataset;Extended Properties=&quot;&quot;" command="SELECT * FROM [actual_vs_target_sales_dataset]"/>
  </connection>
</connections>
</file>

<file path=xl/sharedStrings.xml><?xml version="1.0" encoding="utf-8"?>
<sst xmlns="http://schemas.openxmlformats.org/spreadsheetml/2006/main" count="4411" uniqueCount="52">
  <si>
    <t>Sale Date</t>
  </si>
  <si>
    <t>Product Name</t>
  </si>
  <si>
    <t>Region</t>
  </si>
  <si>
    <t>Sales Representative</t>
  </si>
  <si>
    <t>Sales Team</t>
  </si>
  <si>
    <t>Customer Segment</t>
  </si>
  <si>
    <t>Month</t>
  </si>
  <si>
    <t>Product Z</t>
  </si>
  <si>
    <t>South</t>
  </si>
  <si>
    <t>Mike Johnson</t>
  </si>
  <si>
    <t>Team Gamma</t>
  </si>
  <si>
    <t>Education</t>
  </si>
  <si>
    <t>Jan</t>
  </si>
  <si>
    <t>Product V</t>
  </si>
  <si>
    <t>North</t>
  </si>
  <si>
    <t>Sarah Brown</t>
  </si>
  <si>
    <t>Enterprise</t>
  </si>
  <si>
    <t>Product Y</t>
  </si>
  <si>
    <t>Jane Doe</t>
  </si>
  <si>
    <t>Team Beta</t>
  </si>
  <si>
    <t>Product X</t>
  </si>
  <si>
    <t>Team Alpha</t>
  </si>
  <si>
    <t>East</t>
  </si>
  <si>
    <t>Product W</t>
  </si>
  <si>
    <t>John Smith</t>
  </si>
  <si>
    <t>West</t>
  </si>
  <si>
    <t>Small Business</t>
  </si>
  <si>
    <t>Government</t>
  </si>
  <si>
    <t>Non-Profit</t>
  </si>
  <si>
    <t>Individual</t>
  </si>
  <si>
    <t>Startup</t>
  </si>
  <si>
    <t>Corporate</t>
  </si>
  <si>
    <t>Feb</t>
  </si>
  <si>
    <t>Mar</t>
  </si>
  <si>
    <t>Apr</t>
  </si>
  <si>
    <t>May</t>
  </si>
  <si>
    <t>Jun</t>
  </si>
  <si>
    <t>Jul</t>
  </si>
  <si>
    <t>Aug</t>
  </si>
  <si>
    <t>Sept</t>
  </si>
  <si>
    <t>Oct</t>
  </si>
  <si>
    <t>Nov</t>
  </si>
  <si>
    <t>Dec</t>
  </si>
  <si>
    <t>Achievement %</t>
  </si>
  <si>
    <t>Grand Total</t>
  </si>
  <si>
    <t>Sales_Target</t>
  </si>
  <si>
    <t>Sales_ Amount</t>
  </si>
  <si>
    <t>Sales_Date</t>
  </si>
  <si>
    <t xml:space="preserve"> Sales_ Amount</t>
  </si>
  <si>
    <t xml:space="preserve"> Sales_Target</t>
  </si>
  <si>
    <t xml:space="preserve"> Achievement %</t>
  </si>
  <si>
    <t>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</si>
</sst>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applyAlignment="1">
      <alignment vertical="center"/>
    </xf>
    <xf numFmtId="14" fontId="0" fillId="0" borderId="0" xfId="0" applyNumberFormat="1" applyAlignment="1">
      <alignment horizontal="center" vertical="center"/>
    </xf>
    <xf numFmtId="0" fontId="0" fillId="0" borderId="0" xfId="0" applyAlignment="1">
      <alignment horizontal="center" vertical="center"/>
    </xf>
    <xf numFmtId="9" fontId="0" fillId="0" borderId="0" xfId="1" applyFont="1"/>
    <xf numFmtId="9" fontId="0" fillId="0" borderId="0" xfId="1" applyFon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0" applyNumberFormat="1"/>
    <xf numFmtId="0" fontId="0" fillId="0" borderId="0" xfId="0" applyNumberFormat="1"/>
  </cellXfs>
  <cellStyles count="2">
    <cellStyle name="Normal" xfId="0" builtinId="0"/>
    <cellStyle name="Percent" xfId="1" builtinId="5"/>
  </cellStyles>
  <dxfs count="13">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yyyy/mm/dd"/>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[Sales_target.xlsx]Report Data!PivotTable2</c:name>
    <c:fmtId val="0"/>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Data'!$B$7</c:f>
              <c:strCache>
                <c:ptCount val="1"/>
                <c:pt idx="0">
                  <c:v> Sales_ Amount</c:v>
                </c:pt>
              </c:strCache>
            </c:strRef>
          </c:tx>
          <c:spPr>
            <a:solidFill>
              <a:schemeClr val="dk1">
                <a:tint val="88500"/>
              </a:schemeClr>
            </a:solidFill>
            <a:ln>
              <a:noFill/>
            </a:ln>
            <a:effectLst/>
          </c:spPr>
          <c:invertIfNegative val="0"/>
          <c:cat>
            <c:multiLvlStrRef>
              <c:f>'Report Data'!$A$8:$A$23</c:f>
              <c:multiLvlStrCache>
                <c:ptCount val="12"/>
                <c:lvl>
                  <c:pt idx="0">
                    <c:v>Jane Doe</c:v>
                  </c:pt>
                  <c:pt idx="1">
                    <c:v>John Smith</c:v>
                  </c:pt>
                  <c:pt idx="2">
                    <c:v>Mike Johnson</c:v>
                  </c:pt>
                  <c:pt idx="3">
                    <c:v>Sarah Brown</c:v>
                  </c:pt>
                  <c:pt idx="4">
                    <c:v>Jane Doe</c:v>
                  </c:pt>
                  <c:pt idx="5">
                    <c:v>John Smith</c:v>
                  </c:pt>
                  <c:pt idx="6">
                    <c:v>Mike Johnson</c:v>
                  </c:pt>
                  <c:pt idx="7">
                    <c:v>Sarah Brown</c:v>
                  </c:pt>
                  <c:pt idx="8">
                    <c:v>Jane Doe</c:v>
                  </c:pt>
                  <c:pt idx="9">
                    <c:v>John Smith</c:v>
                  </c:pt>
                  <c:pt idx="10">
                    <c:v>Mike Johnson</c:v>
                  </c:pt>
                  <c:pt idx="11">
                    <c:v>Sarah Brown</c:v>
                  </c:pt>
                </c:lvl>
                <c:lvl>
                  <c:pt idx="0">
                    <c:v>Team Alpha</c:v>
                  </c:pt>
                  <c:pt idx="4">
                    <c:v>Team Beta</c:v>
                  </c:pt>
                  <c:pt idx="8">
                    <c:v>Team Gamma</c:v>
                  </c:pt>
                </c:lvl>
              </c:multiLvlStrCache>
            </c:multiLvlStrRef>
          </c:cat>
          <c:val>
            <c:numRef>
              <c:f>'Report Data'!$B$8:$B$23</c:f>
              <c:numCache>
                <c:formatCode>General</c:formatCode>
                <c:ptCount val="12"/>
                <c:pt idx="0">
                  <c:v>371816.44</c:v>
                </c:pt>
                <c:pt idx="1">
                  <c:v>315983.79999999993</c:v>
                </c:pt>
                <c:pt idx="2">
                  <c:v>410543.96000000008</c:v>
                </c:pt>
                <c:pt idx="3">
                  <c:v>377045.97000000003</c:v>
                </c:pt>
                <c:pt idx="4">
                  <c:v>501879.59000000008</c:v>
                </c:pt>
                <c:pt idx="5">
                  <c:v>300519.37000000005</c:v>
                </c:pt>
                <c:pt idx="6">
                  <c:v>345689.70999999996</c:v>
                </c:pt>
                <c:pt idx="7">
                  <c:v>322437.13000000006</c:v>
                </c:pt>
                <c:pt idx="8">
                  <c:v>254024.86000000004</c:v>
                </c:pt>
                <c:pt idx="9">
                  <c:v>272280.72000000003</c:v>
                </c:pt>
                <c:pt idx="10">
                  <c:v>425463.11</c:v>
                </c:pt>
                <c:pt idx="11">
                  <c:v>308286.09999999998</c:v>
                </c:pt>
              </c:numCache>
            </c:numRef>
          </c:val>
          <c:extLst>
            <c:ext xmlns:c16="http://schemas.microsoft.com/office/drawing/2014/chart" uri="{C3380CC4-5D6E-409C-BE32-E72D297353CC}">
              <c16:uniqueId val="{00000000-FB48-4BA4-BD67-538C6FF72838}"/>
            </c:ext>
          </c:extLst>
        </c:ser>
        <c:dLbls>
          <c:showLegendKey val="0"/>
          <c:showVal val="0"/>
          <c:showCatName val="0"/>
          <c:showSerName val="0"/>
          <c:showPercent val="0"/>
          <c:showBubbleSize val="0"/>
        </c:dLbls>
        <c:gapWidth val="219"/>
        <c:axId val="1109748031"/>
        <c:axId val="1105165343"/>
      </c:barChart>
      <c:lineChart>
        <c:grouping val="standard"/>
        <c:varyColors val="0"/>
        <c:ser>
          <c:idx val="1"/>
          <c:order val="1"/>
          <c:tx>
            <c:strRef>
              <c:f>'Report Data'!$C$7</c:f>
              <c:strCache>
                <c:ptCount val="1"/>
                <c:pt idx="0">
                  <c:v> Sales_Target</c:v>
                </c:pt>
              </c:strCache>
            </c:strRef>
          </c:tx>
          <c:spPr>
            <a:ln w="28575" cap="rnd">
              <a:solidFill>
                <a:schemeClr val="dk1">
                  <a:tint val="55000"/>
                </a:schemeClr>
              </a:solidFill>
              <a:round/>
            </a:ln>
            <a:effectLst/>
          </c:spPr>
          <c:marker>
            <c:symbol val="none"/>
          </c:marker>
          <c:cat>
            <c:multiLvlStrRef>
              <c:f>'Report Data'!$A$8:$A$23</c:f>
              <c:multiLvlStrCache>
                <c:ptCount val="12"/>
                <c:lvl>
                  <c:pt idx="0">
                    <c:v>Jane Doe</c:v>
                  </c:pt>
                  <c:pt idx="1">
                    <c:v>John Smith</c:v>
                  </c:pt>
                  <c:pt idx="2">
                    <c:v>Mike Johnson</c:v>
                  </c:pt>
                  <c:pt idx="3">
                    <c:v>Sarah Brown</c:v>
                  </c:pt>
                  <c:pt idx="4">
                    <c:v>Jane Doe</c:v>
                  </c:pt>
                  <c:pt idx="5">
                    <c:v>John Smith</c:v>
                  </c:pt>
                  <c:pt idx="6">
                    <c:v>Mike Johnson</c:v>
                  </c:pt>
                  <c:pt idx="7">
                    <c:v>Sarah Brown</c:v>
                  </c:pt>
                  <c:pt idx="8">
                    <c:v>Jane Doe</c:v>
                  </c:pt>
                  <c:pt idx="9">
                    <c:v>John Smith</c:v>
                  </c:pt>
                  <c:pt idx="10">
                    <c:v>Mike Johnson</c:v>
                  </c:pt>
                  <c:pt idx="11">
                    <c:v>Sarah Brown</c:v>
                  </c:pt>
                </c:lvl>
                <c:lvl>
                  <c:pt idx="0">
                    <c:v>Team Alpha</c:v>
                  </c:pt>
                  <c:pt idx="4">
                    <c:v>Team Beta</c:v>
                  </c:pt>
                  <c:pt idx="8">
                    <c:v>Team Gamma</c:v>
                  </c:pt>
                </c:lvl>
              </c:multiLvlStrCache>
            </c:multiLvlStrRef>
          </c:cat>
          <c:val>
            <c:numRef>
              <c:f>'Report Data'!$C$8:$C$23</c:f>
              <c:numCache>
                <c:formatCode>General</c:formatCode>
                <c:ptCount val="12"/>
                <c:pt idx="0">
                  <c:v>377569.82</c:v>
                </c:pt>
                <c:pt idx="1">
                  <c:v>316794.57</c:v>
                </c:pt>
                <c:pt idx="2">
                  <c:v>408694.62999999995</c:v>
                </c:pt>
                <c:pt idx="3">
                  <c:v>382061.68000000005</c:v>
                </c:pt>
                <c:pt idx="4">
                  <c:v>502294.99999999983</c:v>
                </c:pt>
                <c:pt idx="5">
                  <c:v>310231.16000000003</c:v>
                </c:pt>
                <c:pt idx="6">
                  <c:v>342069.1700000001</c:v>
                </c:pt>
                <c:pt idx="7">
                  <c:v>325204.49</c:v>
                </c:pt>
                <c:pt idx="8">
                  <c:v>252625.39000000004</c:v>
                </c:pt>
                <c:pt idx="9">
                  <c:v>272009.8899999999</c:v>
                </c:pt>
                <c:pt idx="10">
                  <c:v>441824.20999999996</c:v>
                </c:pt>
                <c:pt idx="11">
                  <c:v>311730.75000000006</c:v>
                </c:pt>
              </c:numCache>
            </c:numRef>
          </c:val>
          <c:smooth val="0"/>
          <c:extLst>
            <c:ext xmlns:c16="http://schemas.microsoft.com/office/drawing/2014/chart" uri="{C3380CC4-5D6E-409C-BE32-E72D297353CC}">
              <c16:uniqueId val="{00000001-FB48-4BA4-BD67-538C6FF72838}"/>
            </c:ext>
          </c:extLst>
        </c:ser>
        <c:ser>
          <c:idx val="2"/>
          <c:order val="2"/>
          <c:tx>
            <c:strRef>
              <c:f>'Report Data'!$D$7</c:f>
              <c:strCache>
                <c:ptCount val="1"/>
                <c:pt idx="0">
                  <c:v> Achievement %</c:v>
                </c:pt>
              </c:strCache>
            </c:strRef>
          </c:tx>
          <c:spPr>
            <a:ln w="28575" cap="rnd">
              <a:solidFill>
                <a:schemeClr val="dk1">
                  <a:tint val="75000"/>
                </a:schemeClr>
              </a:solidFill>
              <a:round/>
            </a:ln>
            <a:effectLst/>
          </c:spPr>
          <c:marker>
            <c:symbol val="none"/>
          </c:marker>
          <c:cat>
            <c:multiLvlStrRef>
              <c:f>'Report Data'!$A$8:$A$23</c:f>
              <c:multiLvlStrCache>
                <c:ptCount val="12"/>
                <c:lvl>
                  <c:pt idx="0">
                    <c:v>Jane Doe</c:v>
                  </c:pt>
                  <c:pt idx="1">
                    <c:v>John Smith</c:v>
                  </c:pt>
                  <c:pt idx="2">
                    <c:v>Mike Johnson</c:v>
                  </c:pt>
                  <c:pt idx="3">
                    <c:v>Sarah Brown</c:v>
                  </c:pt>
                  <c:pt idx="4">
                    <c:v>Jane Doe</c:v>
                  </c:pt>
                  <c:pt idx="5">
                    <c:v>John Smith</c:v>
                  </c:pt>
                  <c:pt idx="6">
                    <c:v>Mike Johnson</c:v>
                  </c:pt>
                  <c:pt idx="7">
                    <c:v>Sarah Brown</c:v>
                  </c:pt>
                  <c:pt idx="8">
                    <c:v>Jane Doe</c:v>
                  </c:pt>
                  <c:pt idx="9">
                    <c:v>John Smith</c:v>
                  </c:pt>
                  <c:pt idx="10">
                    <c:v>Mike Johnson</c:v>
                  </c:pt>
                  <c:pt idx="11">
                    <c:v>Sarah Brown</c:v>
                  </c:pt>
                </c:lvl>
                <c:lvl>
                  <c:pt idx="0">
                    <c:v>Team Alpha</c:v>
                  </c:pt>
                  <c:pt idx="4">
                    <c:v>Team Beta</c:v>
                  </c:pt>
                  <c:pt idx="8">
                    <c:v>Team Gamma</c:v>
                  </c:pt>
                </c:lvl>
              </c:multiLvlStrCache>
            </c:multiLvlStrRef>
          </c:cat>
          <c:val>
            <c:numRef>
              <c:f>'Report Data'!$D$8:$D$23</c:f>
              <c:numCache>
                <c:formatCode>0%</c:formatCode>
                <c:ptCount val="12"/>
                <c:pt idx="0">
                  <c:v>0.98798037173956166</c:v>
                </c:pt>
                <c:pt idx="1">
                  <c:v>1.0183987005887218</c:v>
                </c:pt>
                <c:pt idx="2">
                  <c:v>1.0042584218124779</c:v>
                </c:pt>
                <c:pt idx="3">
                  <c:v>0.99772461581827077</c:v>
                </c:pt>
                <c:pt idx="4">
                  <c:v>1.0075387875130255</c:v>
                </c:pt>
                <c:pt idx="5">
                  <c:v>0.98123939917039282</c:v>
                </c:pt>
                <c:pt idx="6">
                  <c:v>1.0217006519183072</c:v>
                </c:pt>
                <c:pt idx="7">
                  <c:v>0.99964655133298042</c:v>
                </c:pt>
                <c:pt idx="8">
                  <c:v>1.0089787131399195</c:v>
                </c:pt>
                <c:pt idx="9">
                  <c:v>1.0066378472713287</c:v>
                </c:pt>
                <c:pt idx="10">
                  <c:v>0.9742718091929865</c:v>
                </c:pt>
                <c:pt idx="11">
                  <c:v>1.0177162182628865</c:v>
                </c:pt>
              </c:numCache>
            </c:numRef>
          </c:val>
          <c:smooth val="0"/>
          <c:extLst>
            <c:ext xmlns:c16="http://schemas.microsoft.com/office/drawing/2014/chart" uri="{C3380CC4-5D6E-409C-BE32-E72D297353CC}">
              <c16:uniqueId val="{00000002-FB48-4BA4-BD67-538C6FF72838}"/>
            </c:ext>
          </c:extLst>
        </c:ser>
        <c:dLbls>
          <c:showLegendKey val="0"/>
          <c:showVal val="0"/>
          <c:showCatName val="0"/>
          <c:showSerName val="0"/>
          <c:showPercent val="0"/>
          <c:showBubbleSize val="0"/>
        </c:dLbls>
        <c:marker val="1"/>
        <c:smooth val="0"/>
        <c:axId val="1109748031"/>
        <c:axId val="1105165343"/>
      </c:lineChart>
      <c:catAx>
        <c:axId val="110974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65343"/>
        <c:crosses val="autoZero"/>
        <c:auto val="1"/>
        <c:lblAlgn val="ctr"/>
        <c:lblOffset val="100"/>
        <c:noMultiLvlLbl val="0"/>
      </c:catAx>
      <c:valAx>
        <c:axId val="110516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74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541020</xdr:colOff>
      <xdr:row>5</xdr:row>
      <xdr:rowOff>171450</xdr:rowOff>
    </xdr:from>
    <xdr:to>
      <xdr:col>10</xdr:col>
      <xdr:colOff>617220</xdr:colOff>
      <xdr:row>23</xdr:row>
      <xdr:rowOff>7620</xdr:rowOff>
    </xdr:to>
    <xdr:graphicFrame macro="">
      <xdr:nvGraphicFramePr>
        <xdr:cNvPr id="2" name="Chart 1">
          <a:extLst>
            <a:ext uri="{FF2B5EF4-FFF2-40B4-BE49-F238E27FC236}">
              <a16:creationId xmlns:a16="http://schemas.microsoft.com/office/drawing/2014/main" id="{08C10B58-F9E2-4BFE-21E8-245776BC7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0</xdr:row>
      <xdr:rowOff>60961</xdr:rowOff>
    </xdr:from>
    <xdr:to>
      <xdr:col>3</xdr:col>
      <xdr:colOff>541020</xdr:colOff>
      <xdr:row>5</xdr:row>
      <xdr:rowOff>76200</xdr:rowOff>
    </xdr:to>
    <mc:AlternateContent xmlns:mc="http://schemas.openxmlformats.org/markup-compatibility/2006">
      <mc:Choice xmlns:a14="http://schemas.microsoft.com/office/drawing/2010/main" Requires="a14">
        <xdr:graphicFrame macro="">
          <xdr:nvGraphicFramePr>
            <xdr:cNvPr id="3" name="Product Name">
              <a:extLst>
                <a:ext uri="{FF2B5EF4-FFF2-40B4-BE49-F238E27FC236}">
                  <a16:creationId xmlns:a16="http://schemas.microsoft.com/office/drawing/2014/main" id="{782EFCA6-B8BE-3205-E0C4-AB9407D40D71}"/>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38100" y="60961"/>
              <a:ext cx="3253740" cy="92963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nhle Miya" refreshedDate="45994.65846446759" createdVersion="8" refreshedVersion="8" minRefreshableVersion="3" recordCount="730" xr:uid="{6BBFA057-5885-40E7-8DDF-CE32E3316629}">
  <cacheSource type="worksheet">
    <worksheetSource name="actual_vs_target_sales_dataset"/>
  </cacheSource>
  <cacheFields count="14">
    <cacheField name="Sale Date" numFmtId="14">
      <sharedItems containsSemiMixedTypes="0" containsNonDate="0" containsDate="1" containsString="0" minDate="2022-01-01T00:00:00" maxDate="2024-01-01T00:00:00"/>
    </cacheField>
    <cacheField name="Product Name" numFmtId="0">
      <sharedItems count="5">
        <s v="Product Z"/>
        <s v="Product V"/>
        <s v="Product Y"/>
        <s v="Product X"/>
        <s v="Product W"/>
      </sharedItems>
    </cacheField>
    <cacheField name="Sales Amount" numFmtId="0">
      <sharedItems/>
    </cacheField>
    <cacheField name="Sales Target" numFmtId="0">
      <sharedItems/>
    </cacheField>
    <cacheField name="Region" numFmtId="0">
      <sharedItems/>
    </cacheField>
    <cacheField name="Sales Representative" numFmtId="0">
      <sharedItems count="4">
        <s v="Mike Johnson"/>
        <s v="Sarah Brown"/>
        <s v="Jane Doe"/>
        <s v="John Smith"/>
      </sharedItems>
    </cacheField>
    <cacheField name="Sales Team" numFmtId="0">
      <sharedItems count="3">
        <s v="Team Gamma"/>
        <s v="Team Beta"/>
        <s v="Team Alpha"/>
      </sharedItems>
    </cacheField>
    <cacheField name="Customer Segment" numFmtId="0">
      <sharedItems count="8">
        <s v="Education"/>
        <s v="Enterprise"/>
        <s v="Small Business"/>
        <s v="Government"/>
        <s v="Non-Profit"/>
        <s v="Individual"/>
        <s v="Startup"/>
        <s v="Corporate"/>
      </sharedItems>
    </cacheField>
    <cacheField name="Sales_ Amount" numFmtId="0">
      <sharedItems containsSemiMixedTypes="0" containsString="0" containsNumber="1" minValue="-10913.27" maxValue="27539.55" count="730">
        <n v="13962.08"/>
        <n v="7559.78"/>
        <n v="-6941.61"/>
        <n v="16388.47"/>
        <n v="11788.56"/>
        <n v="15408.73"/>
        <n v="9572.09"/>
        <n v="4702.6899999999996"/>
        <n v="7296.39"/>
        <n v="10941.19"/>
        <n v="-4917.68"/>
        <n v="6711.35"/>
        <n v="16777.64"/>
        <n v="-6039.5"/>
        <n v="7118.09"/>
        <n v="4876.1899999999996"/>
        <n v="4034.95"/>
        <n v="2357.21"/>
        <n v="10570.9"/>
        <n v="16542.95"/>
        <n v="17211.560000000001"/>
        <n v="14463.8"/>
        <n v="10288.790000000001"/>
        <n v="11490.84"/>
        <n v="21021.85"/>
        <n v="2562.59"/>
        <n v="14731.19"/>
        <n v="13750.83"/>
        <n v="7594.65"/>
        <n v="9643.41"/>
        <n v="5999.41"/>
        <n v="8558.7999999999993"/>
        <n v="8200.59"/>
        <n v="-1089.74"/>
        <n v="5331.12"/>
        <n v="8165.11"/>
        <n v="14401.2"/>
        <n v="15438.24"/>
        <n v="-8267.75"/>
        <n v="4295.2700000000004"/>
        <n v="4178.34"/>
        <n v="5015.68"/>
        <n v="13198.63"/>
        <n v="4704.6099999999997"/>
        <n v="21310.49"/>
        <n v="5523.8"/>
        <n v="7863.18"/>
        <n v="7902.37"/>
        <n v="12516.57"/>
        <n v="10261.31"/>
        <n v="7703.49"/>
        <n v="2873.58"/>
        <n v="20981.65"/>
        <n v="11422.42"/>
        <n v="12514.84"/>
        <n v="2965.43"/>
        <n v="-5969.03"/>
        <n v="13088.26"/>
        <n v="8742.75"/>
        <n v="8643.4500000000007"/>
        <n v="4974.28"/>
        <n v="10337.81"/>
        <n v="-5119.9399999999996"/>
        <n v="6731.42"/>
        <n v="9819.0300000000007"/>
        <n v="-105.75"/>
        <n v="4192.1000000000004"/>
        <n v="12888.95"/>
        <n v="5626.09"/>
        <n v="14643.85"/>
        <n v="20987.67"/>
        <n v="4946.09"/>
        <n v="7293.01"/>
        <n v="3742.54"/>
        <n v="662.24"/>
        <n v="7757.37"/>
        <n v="-938.69"/>
        <n v="-4575.7700000000004"/>
        <n v="8857.27"/>
        <n v="11857.81"/>
        <n v="6675.49"/>
        <n v="-4997.2"/>
        <n v="-2102.21"/>
        <n v="10762.42"/>
        <n v="12991.76"/>
        <n v="11736.59"/>
        <n v="6424.47"/>
        <n v="2288.7199999999998"/>
        <n v="-4723.9799999999996"/>
        <n v="14550.78"/>
        <n v="5138.71"/>
        <n v="10565.66"/>
        <n v="6573.79"/>
        <n v="10881.43"/>
        <n v="11289.3"/>
        <n v="8444.86"/>
        <n v="9133.36"/>
        <n v="-1045.96"/>
        <n v="16434.82"/>
        <n v="14548.42"/>
        <n v="-5596.32"/>
        <n v="18536.990000000002"/>
        <n v="3689.52"/>
        <n v="13529.93"/>
        <n v="-2277.7399999999998"/>
        <n v="10807.88"/>
        <n v="1721.07"/>
        <n v="4777.41"/>
        <n v="8507.5400000000009"/>
        <n v="-519"/>
        <n v="9501.51"/>
        <n v="4710.26"/>
        <n v="10665.95"/>
        <n v="9718.8700000000008"/>
        <n v="-1035.2"/>
        <n v="7639.89"/>
        <n v="-1200.1600000000001"/>
        <n v="5506.97"/>
        <n v="11249.05"/>
        <n v="7127.54"/>
        <n v="2095.0700000000002"/>
        <n v="16741.91"/>
        <n v="35.36"/>
        <n v="3653.57"/>
        <n v="7075.3"/>
        <n v="1566.39"/>
        <n v="14930.39"/>
        <n v="2618.9699999999998"/>
        <n v="4372.83"/>
        <n v="11656.49"/>
        <n v="17821.18"/>
        <n v="15627.31"/>
        <n v="4441.72"/>
        <n v="11596.22"/>
        <n v="14687.83"/>
        <n v="13910.23"/>
        <n v="1292.56"/>
        <n v="-9009.44"/>
        <n v="-2319.1799999999998"/>
        <n v="7333.45"/>
        <n v="10659.52"/>
        <n v="11437.51"/>
        <n v="11425.25"/>
        <n v="12488.21"/>
        <n v="-639.79999999999995"/>
        <n v="13241.55"/>
        <n v="-4004.11"/>
        <n v="-3722.59"/>
        <n v="5463.64"/>
        <n v="7044.84"/>
        <n v="5376.98"/>
        <n v="1197.1500000000001"/>
        <n v="-2227.8000000000002"/>
        <n v="10538.15"/>
        <n v="15290.49"/>
        <n v="-5069.93"/>
        <n v="-2696.15"/>
        <n v="11595.6"/>
        <n v="5175.74"/>
        <n v="9900.74"/>
        <n v="4452.8"/>
        <n v="373.69"/>
        <n v="11946.25"/>
        <n v="14613.14"/>
        <n v="-4303.03"/>
        <n v="5444.86"/>
        <n v="23814.15"/>
        <n v="6207.36"/>
        <n v="9350.24"/>
        <n v="4373.37"/>
        <n v="8194.18"/>
        <n v="3094.46"/>
        <n v="14274.71"/>
        <n v="7919.09"/>
        <n v="4925.54"/>
        <n v="-2328.2800000000002"/>
        <n v="7360.14"/>
        <n v="-5017.1499999999996"/>
        <n v="3358.77"/>
        <n v="-2111.19"/>
        <n v="10339.64"/>
        <n v="8267.8799999999992"/>
        <n v="-6502.01"/>
        <n v="-1148.58"/>
        <n v="13547.62"/>
        <n v="11400.04"/>
        <n v="13420.03"/>
        <n v="5813.5"/>
        <n v="5246.92"/>
        <n v="14359.36"/>
        <n v="12024.27"/>
        <n v="7539.56"/>
        <n v="13797.54"/>
        <n v="244.78"/>
        <n v="7453.89"/>
        <n v="12047.4"/>
        <n v="4722.5200000000004"/>
        <n v="11051.74"/>
        <n v="11045.56"/>
        <n v="7723.88"/>
        <n v="18607.43"/>
        <n v="8077.31"/>
        <n v="14821.29"/>
        <n v="9327.5499999999993"/>
        <n v="14562.71"/>
        <n v="13124.83"/>
        <n v="-7836.77"/>
        <n v="14451.83"/>
        <n v="7694.18"/>
        <n v="6845.01"/>
        <n v="21533.51"/>
        <n v="10274.99"/>
        <n v="12662.05"/>
        <n v="15987.44"/>
        <n v="7246.55"/>
        <n v="-1775.81"/>
        <n v="2020.56"/>
        <n v="-26.88"/>
        <n v="-2591.3200000000002"/>
        <n v="13461.37"/>
        <n v="-7656.07"/>
        <n v="706.02"/>
        <n v="4837.97"/>
        <n v="5195.3500000000004"/>
        <n v="-939.75"/>
        <n v="4818.45"/>
        <n v="7464.19"/>
        <n v="1911.63"/>
        <n v="17764.52"/>
        <n v="-3905.36"/>
        <n v="13643.83"/>
        <n v="2405.42"/>
        <n v="8052.93"/>
        <n v="7600.51"/>
        <n v="2457.81"/>
        <n v="8215.82"/>
        <n v="8074.08"/>
        <n v="17643.86"/>
        <n v="8097.61"/>
        <n v="10175.709999999999"/>
        <n v="17992.38"/>
        <n v="11788.98"/>
        <n v="23019.77"/>
        <n v="2985.76"/>
        <n v="-3557.61"/>
        <n v="5026.59"/>
        <n v="10048.58"/>
        <n v="13580.9"/>
        <n v="2085.59"/>
        <n v="-444.98"/>
        <n v="3437.27"/>
        <n v="13737.79"/>
        <n v="9122.6299999999992"/>
        <n v="4415.6400000000003"/>
        <n v="4852.9399999999996"/>
        <n v="4390.47"/>
        <n v="-4863.47"/>
        <n v="15710.9"/>
        <n v="17011.240000000002"/>
        <n v="14506.55"/>
        <n v="6430.65"/>
        <n v="7576.28"/>
        <n v="-1178.6400000000001"/>
        <n v="11111.59"/>
        <n v="-1675.23"/>
        <n v="9299.85"/>
        <n v="5205.97"/>
        <n v="8961.58"/>
        <n v="12887.3"/>
        <n v="7540.93"/>
        <n v="-2739.08"/>
        <n v="12530.36"/>
        <n v="6091.52"/>
        <n v="9082"/>
        <n v="6778.01"/>
        <n v="13658.58"/>
        <n v="11402.46"/>
        <n v="13213.33"/>
        <n v="9671.36"/>
        <n v="9245.02"/>
        <n v="6649.28"/>
        <n v="9294.56"/>
        <n v="-1678.29"/>
        <n v="-1611.11"/>
        <n v="6816.06"/>
        <n v="3671.89"/>
        <n v="17553.55"/>
        <n v="1552.6"/>
        <n v="4891.3999999999996"/>
        <n v="20513.8"/>
        <n v="-1433.24"/>
        <n v="11851.59"/>
        <n v="7570.29"/>
        <n v="2496.37"/>
        <n v="271.16000000000003"/>
        <n v="17284.88"/>
        <n v="5601.72"/>
        <n v="17081.88"/>
        <n v="3713.88"/>
        <n v="9347.81"/>
        <n v="8156.96"/>
        <n v="6289.79"/>
        <n v="-843.61"/>
        <n v="7183.76"/>
        <n v="3340.12"/>
        <n v="5206.24"/>
        <n v="6259.09"/>
        <n v="3359.86"/>
        <n v="4819.7"/>
        <n v="10674.14"/>
        <n v="20470"/>
        <n v="818.16"/>
        <n v="4294.01"/>
        <n v="9253.2000000000007"/>
        <n v="-1745.88"/>
        <n v="-2351.96"/>
        <n v="12175.76"/>
        <n v="17654.28"/>
        <n v="3585.13"/>
        <n v="18692.93"/>
        <n v="11457.2"/>
        <n v="6334.64"/>
        <n v="10442.219999999999"/>
        <n v="11702.92"/>
        <n v="15295.93"/>
        <n v="4876.87"/>
        <n v="27539.55"/>
        <n v="7738.16"/>
        <n v="10683.96"/>
        <n v="8731.5499999999993"/>
        <n v="-2681.68"/>
        <n v="14168.17"/>
        <n v="-695.07"/>
        <n v="9235.93"/>
        <n v="7351.81"/>
        <n v="-648.53"/>
        <n v="-5062.96"/>
        <n v="-6001.39"/>
        <n v="2476.66"/>
        <n v="11330.01"/>
        <n v="-3282.89"/>
        <n v="9194.99"/>
        <n v="7975.64"/>
        <n v="11618.88"/>
        <n v="15573.74"/>
        <n v="652.79999999999995"/>
        <n v="2650.16"/>
        <n v="-5299.58"/>
        <n v="10654.47"/>
        <n v="10179.5"/>
        <n v="19741.330000000002"/>
        <n v="11895.46"/>
        <n v="9612.27"/>
        <n v="14319.28"/>
        <n v="4942.99"/>
        <n v="-2848.61"/>
        <n v="5832.86"/>
        <n v="2483.8000000000002"/>
        <n v="846.58"/>
        <n v="-1566.7"/>
        <n v="12546.94"/>
        <n v="930.42"/>
        <n v="17164.73"/>
        <n v="7382.32"/>
        <n v="11686.98"/>
        <n v="-1849.99"/>
        <n v="20798.95"/>
        <n v="2414.4699999999998"/>
        <n v="13381.13"/>
        <n v="5423.37"/>
        <n v="10463.89"/>
        <n v="14416.58"/>
        <n v="19797.29"/>
        <n v="11990.7"/>
        <n v="12574.28"/>
        <n v="2804.78"/>
        <n v="6123.24"/>
        <n v="9639.2900000000009"/>
        <n v="-10913.27"/>
        <n v="-5227.96"/>
        <n v="-1010.5"/>
        <n v="9000.92"/>
        <n v="4542.63"/>
        <n v="-3843.52"/>
        <n v="-5817.79"/>
        <n v="1545.42"/>
        <n v="4346.47"/>
        <n v="-4231.97"/>
        <n v="8693.85"/>
        <n v="6988.9"/>
        <n v="10599.73"/>
        <n v="2684.53"/>
        <n v="18518.689999999999"/>
        <n v="9394.02"/>
        <n v="6106.68"/>
        <n v="3023.33"/>
        <n v="21587.91"/>
        <n v="5713.1"/>
        <n v="9183.7999999999993"/>
        <n v="9587.1299999999992"/>
        <n v="8938.98"/>
        <n v="6126.06"/>
        <n v="8067.79"/>
        <n v="273.08999999999997"/>
        <n v="-592.04999999999995"/>
        <n v="1502.3"/>
        <n v="-1146.56"/>
        <n v="13958.82"/>
        <n v="15438.77"/>
        <n v="9737.6299999999992"/>
        <n v="-115.62"/>
        <n v="15179.49"/>
        <n v="9863.6200000000008"/>
        <n v="5348.94"/>
        <n v="14571"/>
        <n v="6722.33"/>
        <n v="7270.63"/>
        <n v="2074.87"/>
        <n v="3111.6"/>
        <n v="6083.26"/>
        <n v="14490"/>
        <n v="1214.3900000000001"/>
        <n v="6916.36"/>
        <n v="-3720.67"/>
        <n v="5189.9399999999996"/>
        <n v="11959.05"/>
        <n v="5308.95"/>
        <n v="10710.38"/>
        <n v="2102.73"/>
        <n v="8796.84"/>
        <n v="-474.31"/>
        <n v="7671.36"/>
        <n v="6905.53"/>
        <n v="9856.2800000000007"/>
        <n v="12107.29"/>
        <n v="6477.18"/>
        <n v="6256.75"/>
        <n v="10391.120000000001"/>
        <n v="14688.1"/>
        <n v="7805.51"/>
        <n v="1645.12"/>
        <n v="10486.3"/>
        <n v="18617.71"/>
        <n v="1968.18"/>
        <n v="3941.17"/>
        <n v="8222.35"/>
        <n v="13014.77"/>
        <n v="12135.64"/>
        <n v="18490.900000000001"/>
        <n v="781.09"/>
        <n v="13113.19"/>
        <n v="4177.72"/>
        <n v="7331.14"/>
        <n v="-1374.53"/>
        <n v="6359.94"/>
        <n v="6952.85"/>
        <n v="1549.8"/>
        <n v="15456.09"/>
        <n v="13650.55"/>
        <n v="9412.19"/>
        <n v="9412.5300000000007"/>
        <n v="16383.61"/>
        <n v="5188.8900000000003"/>
        <n v="1353.41"/>
        <n v="-2205.2399999999998"/>
        <n v="927.03"/>
        <n v="4365.6499999999996"/>
        <n v="506.58"/>
        <n v="10003.26"/>
        <n v="2546.9"/>
        <n v="8086.01"/>
        <n v="10339.49"/>
        <n v="6396.08"/>
        <n v="12745.43"/>
        <n v="13229.76"/>
        <n v="-1635.83"/>
        <n v="24684.959999999999"/>
        <n v="9213.7199999999993"/>
        <n v="22826.23"/>
        <n v="10208.370000000001"/>
        <n v="17737.240000000002"/>
        <n v="6877.16"/>
        <n v="16838.55"/>
        <n v="2105.5"/>
        <n v="4931.74"/>
        <n v="-7898.78"/>
        <n v="6952.25"/>
        <n v="2194.15"/>
        <n v="17049.21"/>
        <n v="10781.02"/>
        <n v="3893.39"/>
        <n v="-271.52999999999997"/>
        <n v="224.4"/>
        <n v="429.83"/>
        <n v="7601.99"/>
        <n v="16805.55"/>
        <n v="11220.44"/>
        <n v="13791.57"/>
        <n v="6139.57"/>
        <n v="-1807.3"/>
        <n v="14351.48"/>
        <n v="14741.38"/>
        <n v="-6563.4"/>
        <n v="-409.48"/>
        <n v="-2862.49"/>
        <n v="16268.55"/>
        <n v="-2565.89"/>
        <n v="17197.07"/>
        <n v="13171.62"/>
        <n v="7069.34"/>
        <n v="4228.6000000000004"/>
        <n v="-2623.99"/>
        <n v="7915.76"/>
        <n v="15486.8"/>
        <n v="7733.68"/>
        <n v="523.72"/>
        <n v="15570.89"/>
        <n v="2656.83"/>
        <n v="16716.599999999999"/>
        <n v="10475.1"/>
        <n v="6030.52"/>
        <n v="-436.86"/>
        <n v="4324.2700000000004"/>
        <n v="1185.21"/>
        <n v="24781.74"/>
        <n v="14303.57"/>
        <n v="7366.77"/>
        <n v="7634.95"/>
        <n v="10811.49"/>
        <n v="18512.05"/>
        <n v="2419.7600000000002"/>
        <n v="10849.92"/>
        <n v="8779.56"/>
        <n v="7283.53"/>
        <n v="13627.73"/>
        <n v="13584.1"/>
        <n v="15755.4"/>
        <n v="-367.85"/>
        <n v="-505.58"/>
        <n v="-2455.8200000000002"/>
        <n v="6653.38"/>
        <n v="16739.36"/>
        <n v="13019.15"/>
        <n v="15950.84"/>
        <n v="10355.959999999999"/>
        <n v="17121.66"/>
        <n v="15503.05"/>
        <n v="13406.36"/>
        <n v="-5.36"/>
        <n v="-5162.8900000000003"/>
        <n v="693.01"/>
        <n v="3838.19"/>
        <n v="-3588.39"/>
        <n v="12618"/>
        <n v="10763.15"/>
        <n v="15669.09"/>
        <n v="17054.37"/>
        <n v="8667.8700000000008"/>
        <n v="5184.66"/>
        <n v="3850.06"/>
        <n v="-1738.51"/>
        <n v="17600"/>
        <n v="1668.88"/>
        <n v="5868.76"/>
        <n v="20645.61"/>
        <n v="-1963.31"/>
        <n v="-5927.99"/>
        <n v="12466.35"/>
        <n v="10967.48"/>
        <n v="-1691.13"/>
        <n v="19691.7"/>
        <n v="7253.06"/>
        <n v="17961.75"/>
        <n v="6527.79"/>
        <n v="14110.42"/>
        <n v="11691.54"/>
        <n v="5169.6400000000003"/>
        <n v="7335.85"/>
        <n v="10607.14"/>
        <n v="9129.31"/>
        <n v="15779.53"/>
        <n v="10926.34"/>
        <n v="-2739.11"/>
        <n v="5692.91"/>
        <n v="6632.83"/>
        <n v="8216.02"/>
        <n v="9730.26"/>
        <n v="9817.1200000000008"/>
        <n v="392.24"/>
        <n v="4237.37"/>
        <n v="13987.17"/>
        <n v="10659.8"/>
        <n v="10473.68"/>
        <n v="11782.74"/>
        <n v="21877.47"/>
        <n v="10882.27"/>
        <n v="5756.19"/>
        <n v="3661.31"/>
        <n v="21976.54"/>
        <n v="8411.82"/>
        <n v="9400"/>
        <n v="8523.07"/>
        <n v="10030.620000000001"/>
        <n v="-88.67"/>
        <n v="4010.01"/>
        <n v="-3160.8"/>
        <n v="-1359.5"/>
        <n v="3506.6"/>
        <n v="-7858.32"/>
        <n v="16783.55"/>
        <n v="7619.97"/>
        <n v="6435.03"/>
        <n v="1772.76"/>
        <n v="5707.24"/>
        <n v="10059.58"/>
        <n v="10382.41"/>
        <n v="4026.55"/>
        <n v="-1615.67"/>
        <n v="11321.31"/>
        <n v="8810.0499999999993"/>
        <n v="3551.1"/>
        <n v="14127.37"/>
        <n v="10042.27"/>
        <n v="12566.72"/>
        <n v="14970.58"/>
        <n v="12186.09"/>
        <n v="2610.06"/>
        <n v="14183.18"/>
        <n v="-3870.12"/>
        <n v="8389.15"/>
        <n v="11252.02"/>
        <n v="7530.63"/>
        <n v="4094.68"/>
        <n v="4680.08"/>
        <n v="8525.4599999999991"/>
        <n v="7366.4"/>
        <n v="5155.79"/>
        <n v="16727.59"/>
        <n v="17985.490000000002"/>
        <n v="12957.33"/>
        <n v="12309.33"/>
        <n v="10308"/>
        <n v="17583.78"/>
        <n v="-1052.8"/>
        <n v="1481.83"/>
        <n v="17864.349999999999"/>
        <n v="-3337.11"/>
        <n v="6462.41"/>
        <n v="8515.48"/>
        <n v="12122.53"/>
        <n v="7175.21"/>
        <n v="4128.45"/>
        <n v="-7347.36"/>
        <n v="13740.46"/>
        <n v="17378.82"/>
        <n v="4399.21"/>
        <n v="2827.07"/>
        <n v="-6164.91"/>
        <n v="6289.02"/>
        <n v="-1611.26"/>
        <n v="13249.36"/>
        <n v="4761.87"/>
        <n v="5436.41"/>
        <n v="13977.73"/>
        <n v="5626.38"/>
        <n v="5883.77"/>
        <n v="12618.31"/>
        <n v="9651.42"/>
        <n v="3363.61"/>
        <n v="3025.09"/>
        <n v="9379.86"/>
        <n v="12168.58"/>
        <n v="6304.48"/>
        <n v="9630.7000000000007"/>
        <n v="747.39"/>
        <n v="-5455.01"/>
        <n v="7815.08"/>
        <n v="10335.4"/>
        <n v="14313.02"/>
        <n v="11522.87"/>
        <n v="2788.59"/>
        <n v="7507.83"/>
        <n v="-3938.6"/>
        <n v="458.32"/>
        <n v="-2548.31"/>
        <n v="7466.14"/>
        <n v="6250.57"/>
        <n v="15098.99"/>
        <n v="11483.9"/>
        <n v="4907.41"/>
        <n v="9193"/>
        <n v="16145.19"/>
        <n v="4814.63"/>
        <n v="-1395.08"/>
        <n v="11998.56"/>
        <n v="5017.9799999999996"/>
        <n v="-1835.72"/>
        <n v="-3391.3"/>
        <n v="3582.29"/>
        <n v="-2890.86"/>
        <n v="4891.66"/>
        <n v="-285.08999999999997"/>
        <n v="7153.91"/>
        <n v="5603.06"/>
        <n v="10112.57"/>
        <n v="20647.37"/>
        <n v="1366.8"/>
        <n v="11100.72"/>
        <n v="1863.34"/>
        <n v="3186.52"/>
        <n v="276.47000000000003"/>
        <n v="6304.01"/>
        <n v="3725.81"/>
        <n v="7233.04"/>
        <n v="3079.24"/>
        <n v="-79.069999999999993"/>
        <n v="4778.7"/>
        <n v="14084.34"/>
        <n v="-3650.92"/>
        <n v="5487.78"/>
        <n v="6384.31"/>
        <n v="9901.1200000000008"/>
        <n v="15329.81"/>
        <n v="12288.12"/>
        <n v="3582.7"/>
        <n v="15568.36"/>
        <n v="-2728.69"/>
        <n v="3804.63"/>
        <n v="2026.18"/>
        <n v="19904.32"/>
      </sharedItems>
    </cacheField>
    <cacheField name="Sales_Target" numFmtId="0">
      <sharedItems containsSemiMixedTypes="0" containsString="0" containsNumber="1" minValue="-12532.11" maxValue="28601.07"/>
    </cacheField>
    <cacheField name="Sales_Date" numFmtId="0">
      <sharedItems/>
    </cacheField>
    <cacheField name="Month" numFmtId="0">
      <sharedItems containsSemiMixedTypes="0" containsString="0" containsNumber="1" containsInteger="1" minValue="1" maxValue="12"/>
    </cacheField>
    <cacheField name="Achievement %" numFmtId="9">
      <sharedItems containsSemiMixedTypes="0" containsString="0" containsNumber="1" minValue="0.84825484240709792" maxValue="1.2383515920330455" count="730">
        <n v="0.92858910067971112"/>
        <n v="1.1705018750251603"/>
        <n v="1.1260749169022926"/>
        <n v="0.98506457012853921"/>
        <n v="0.9679884319874269"/>
        <n v="1.1623151061369412"/>
        <n v="0.88444892475602122"/>
        <n v="0.99301905717151451"/>
        <n v="1.1236296101232139"/>
        <n v="0.96952616239657818"/>
        <n v="1.109297001003801"/>
        <n v="0.917348616667783"/>
        <n v="1.0929410699430848"/>
        <n v="1.0117567830171612"/>
        <n v="1.0165432539540862"/>
        <n v="1.1203965810394743"/>
        <n v="0.98363752934494053"/>
        <n v="0.9991522585950382"/>
        <n v="0.95953329079189709"/>
        <n v="0.9135239279604439"/>
        <n v="0.93486722395128918"/>
        <n v="1.0024368201022411"/>
        <n v="1.1344259945311812"/>
        <n v="0.95861009194976554"/>
        <n v="1.0104103481523423"/>
        <n v="0.96691657831088917"/>
        <n v="1.1623817985557015"/>
        <n v="0.92132987782898201"/>
        <n v="0.94364343917040039"/>
        <n v="1.0245932294511013"/>
        <n v="1.1674070701233097"/>
        <n v="0.97107911546796444"/>
        <n v="0.86658691822649891"/>
        <n v="1.0592031725357931"/>
        <n v="1.1175930468032651"/>
        <n v="1.0625953264654899"/>
        <n v="1.0234572489913747"/>
        <n v="1.0051029110942418"/>
        <n v="1.0911179678303147"/>
        <n v="0.98188148212493698"/>
        <n v="1.012636323978479"/>
        <n v="0.92727215584194711"/>
        <n v="1.0430368483108949"/>
        <n v="1.0067471560512553"/>
        <n v="1.0021043236680218"/>
        <n v="1.0083901683875396"/>
        <n v="1.0373478907874323"/>
        <n v="1.0399114103286187"/>
        <n v="1.0253214018313392"/>
        <n v="0.91334804353959953"/>
        <n v="1.00959863700403"/>
        <n v="0.96710878366780983"/>
        <n v="0.92539593069514803"/>
        <n v="1.0976721211911542"/>
        <n v="0.97182411738760399"/>
        <n v="0.90098227768105899"/>
        <n v="0.93031189995261965"/>
        <n v="0.99702300694580925"/>
        <n v="0.92307424292655527"/>
        <n v="1.0472275902176613"/>
        <n v="1.0502703649980258"/>
        <n v="1.0062499999999999"/>
        <n v="0.95889441175258727"/>
        <n v="0.97899602084981618"/>
        <n v="0.98524000790678046"/>
        <n v="0.99323753169907014"/>
        <n v="1.0088513038707008"/>
        <n v="1.1135893155835719"/>
        <n v="0.97087926500127697"/>
        <n v="0.88296121840731312"/>
        <n v="1.0353677270785377"/>
        <n v="0.99193192574884892"/>
        <n v="1.0589177361580782"/>
        <n v="1.025929631710961"/>
        <n v="0.84917805760008203"/>
        <n v="1.0600975729747457"/>
        <n v="0.99633812384571308"/>
        <n v="1.1386137874746189"/>
        <n v="0.92277935962710733"/>
        <n v="0.95858798002923173"/>
        <n v="0.98743132863740035"/>
        <n v="1.0928287758708164"/>
        <n v="1.131461387758617"/>
        <n v="1.0075144048716784"/>
        <n v="1.1586440617503055"/>
        <n v="1.0654807404246822"/>
        <n v="0.98806685881089995"/>
        <n v="0.94809487908136625"/>
        <n v="1.0566485935151384"/>
        <n v="0.94857314215122257"/>
        <n v="1.0059195806180714"/>
        <n v="0.90850432469197484"/>
        <n v="0.99180759464642154"/>
        <n v="0.95417827810992306"/>
        <n v="0.92002236224887279"/>
        <n v="0.92226523892471601"/>
        <n v="1.0965154920378801"/>
        <n v="0.8611630262063743"/>
        <n v="1.0380786712447481"/>
        <n v="0.91170937439291111"/>
        <n v="1.1196289990536914"/>
        <n v="1.1652797125428094"/>
        <n v="1.1828076260943996"/>
        <n v="0.95782097079515838"/>
        <n v="0.88699803732203486"/>
        <n v="0.9755645799691115"/>
        <n v="0.91792847809274913"/>
        <n v="0.98633658092447951"/>
        <n v="0.93034196399377556"/>
        <n v="0.948031783724541"/>
        <n v="1.0735914741006147"/>
        <n v="1.0714121615627652"/>
        <n v="0.95416053875523776"/>
        <n v="1.0201267539403303"/>
        <n v="0.97931073628047349"/>
        <n v="1.0139257540849587"/>
        <n v="0.91791141806055887"/>
        <n v="0.98034841989831534"/>
        <n v="0.87127980512665593"/>
        <n v="1.016987991690067"/>
        <n v="0.96844679267610589"/>
        <n v="0.97353213452516352"/>
        <n v="1.1286307053941909"/>
        <n v="1.1475897464891369"/>
        <n v="1.0501528779647937"/>
        <n v="1.1095456670491735"/>
        <n v="0.98522205520002848"/>
        <n v="0.94646057995316424"/>
        <n v="0.96165543995302605"/>
        <n v="0.98097298734786553"/>
        <n v="0.88083296963897639"/>
        <n v="1.1433919882933967"/>
        <n v="1.0114771868139878"/>
        <n v="0.89317186300131157"/>
        <n v="1.1421294179489332"/>
        <n v="0.95881704198460116"/>
        <n v="1.0034313040508018"/>
        <n v="0.98527356437484281"/>
        <n v="1.1032314227679016"/>
        <n v="0.93616877322565861"/>
        <n v="0.99144122609412233"/>
        <n v="1.116196571437494"/>
        <n v="0.9987263785619005"/>
        <n v="1.0253323776424155"/>
        <n v="1.1162287588541122"/>
        <n v="0.96233593511533599"/>
        <n v="1.0015132339184505"/>
        <n v="0.93797779647948731"/>
        <n v="1.0391771244241736"/>
        <n v="1.2349835214921816"/>
        <n v="1.0347569553361289"/>
        <n v="0.9223674985168463"/>
        <n v="1.0084239019731214"/>
        <n v="1.1175914751191494"/>
        <n v="0.97199794799945838"/>
        <n v="0.96522477482537195"/>
        <n v="1.061743903975805"/>
        <n v="1.0554840001638444"/>
        <n v="1.0448779030330437"/>
        <n v="0.96714398329994167"/>
        <n v="1.0458621645363286"/>
        <n v="0.94232902965503329"/>
        <n v="1.1521865141252257"/>
        <n v="0.95012616862838672"/>
        <n v="1.1254223900739639"/>
        <n v="0.95178378831924126"/>
        <n v="0.96293176789503654"/>
        <n v="1.0195287478278579"/>
        <n v="1.0467463815410174"/>
        <n v="1.1074458225501764"/>
        <n v="0.95891635704046108"/>
        <n v="1.0659414473842845"/>
        <n v="0.97828472193190996"/>
        <n v="1.0569906207997481"/>
        <n v="0.95990287042829381"/>
        <n v="0.99340794374778674"/>
        <n v="0.99929399050145684"/>
        <n v="1.0898602796145525"/>
        <n v="0.97339287887833348"/>
        <n v="1.1403331568883752"/>
        <n v="0.96947273473964912"/>
        <n v="1.1714727785901315"/>
        <n v="1.0550843400864902"/>
        <n v="1.0684365726830447"/>
        <n v="1.0585310321279586"/>
        <n v="0.94132121400284707"/>
        <n v="1.0591354569662073"/>
        <n v="0.98984529570212865"/>
        <n v="1.0524065115010308"/>
        <n v="0.94767805228960911"/>
        <n v="0.93208938679135589"/>
        <n v="1.1064320619872914"/>
        <n v="1.1586490095143724"/>
        <n v="0.92321037942219208"/>
        <n v="0.94275708026833693"/>
        <n v="1.1323414826253808"/>
        <n v="1.0778686934392367"/>
        <n v="0.95768645515960071"/>
        <n v="0.91702829816645137"/>
        <n v="1.0382535991289503"/>
        <n v="0.96158602474216792"/>
        <n v="0.87626452474481697"/>
        <n v="1.0305358319913893"/>
        <n v="0.96952017453868122"/>
        <n v="0.94089245390904885"/>
        <n v="0.97361740828219767"/>
        <n v="1.0631087585260108"/>
        <n v="0.97558049815135717"/>
        <n v="0.99447969403726821"/>
        <n v="0.92706720787267849"/>
        <n v="0.97504906147015047"/>
        <n v="1.0813013092440564"/>
        <n v="1.1649091591563965"/>
        <n v="0.88040830172387219"/>
        <n v="0.88174920118076805"/>
        <n v="1.0521011689288868"/>
        <n v="0.98282000894993859"/>
        <n v="1.0442890442890442"/>
        <n v="0.99620558282939731"/>
        <n v="0.86199715813220523"/>
        <n v="1.2069252536080524"/>
        <n v="0.88269050446958797"/>
        <n v="0.88795834388685169"/>
        <n v="1.0494660102980122"/>
        <n v="1.0137868539434933"/>
        <n v="0.97970623757182407"/>
        <n v="0.97413212570474006"/>
        <n v="0.98233812949640298"/>
        <n v="1.1715803142808716"/>
        <n v="0.98730900302359215"/>
        <n v="0.86539853291428681"/>
        <n v="1.0062076985501427"/>
        <n v="1.011975927506054"/>
        <n v="1.0152111163500801"/>
        <n v="0.98724674239624677"/>
        <n v="1.0129369280066676"/>
        <n v="1.1036179556889616"/>
        <n v="1.177938644425143"/>
        <n v="0.92316014601635721"/>
        <n v="1.0102677742598751"/>
        <n v="1.0949125250795517"/>
        <n v="0.97564564529770936"/>
        <n v="0.89753915076040103"/>
        <n v="1.0159931399637943"/>
        <n v="0.94606216293837953"/>
        <n v="0.90901676401974796"/>
        <n v="0.96814031058090844"/>
        <n v="0.9914505829678909"/>
        <n v="0.88684733106829561"/>
        <n v="0.89129694541812721"/>
        <n v="1.1807298858866286"/>
        <n v="1.0328218013084516"/>
        <n v="0.93932108312036511"/>
        <n v="0.9955830926468302"/>
        <n v="0.97250188370713564"/>
        <n v="1.1130047912388776"/>
        <n v="0.97618875574556907"/>
        <n v="0.87545218889515453"/>
        <n v="0.92377736036149061"/>
        <n v="1.0320796263424317"/>
        <n v="1.0079673094225228"/>
        <n v="0.87992223150065563"/>
        <n v="1.0192409135326317"/>
        <n v="1.0272187894049825"/>
        <n v="1.0311772888992847"/>
        <n v="1.0146991913917207"/>
        <n v="1.0451719243440534"/>
        <n v="0.94538515015365066"/>
        <n v="1.0572373170571634"/>
        <n v="0.87673202979126119"/>
        <n v="0.8958590216157698"/>
        <n v="1.0485086585248502"/>
        <n v="0.95328354752082933"/>
        <n v="1.03074881938289"/>
        <n v="0.93613750621512626"/>
        <n v="1.0334123479133266"/>
        <n v="1.081060120521679"/>
        <n v="1.0211867976279814"/>
        <n v="1.0850847077302817"/>
        <n v="0.97583790464991826"/>
        <n v="0.92690073560673958"/>
        <n v="1.0696336259476977"/>
        <n v="0.95960410305670862"/>
        <n v="1.0959186449901368"/>
        <n v="0.99181930887565706"/>
        <n v="0.96101391051729324"/>
        <n v="0.98064689493892998"/>
        <n v="0.94939921117803527"/>
        <n v="0.99015593022714432"/>
        <n v="0.97943612881663444"/>
        <n v="1.1545259019985339"/>
        <n v="1.0184630747099275"/>
        <n v="0.95217066470789469"/>
        <n v="1.0038079536772688"/>
        <n v="1.2121049573108043"/>
        <n v="1.065792240288028"/>
        <n v="1.0894854151026332"/>
        <n v="0.97858856999145838"/>
        <n v="1.0190984227337088"/>
        <n v="1.0198764296616818"/>
        <n v="1.02759413045231"/>
        <n v="1.0148538255135349"/>
        <n v="0.99394403534609721"/>
        <n v="1.0160517207970841"/>
        <n v="0.9652912242574172"/>
        <n v="0.97827818949836887"/>
        <n v="1.0883840711134605"/>
        <n v="1.0300473657586953"/>
        <n v="0.98758677780783066"/>
        <n v="0.99169326105234801"/>
        <n v="1.052580158324099"/>
        <n v="1.051781765825063"/>
        <n v="0.9989182675531445"/>
        <n v="1.1404161757383644"/>
        <n v="1.0023884436074686"/>
        <n v="0.97965270054689879"/>
        <n v="1.0998651337867416"/>
        <n v="0.90332147275802877"/>
        <n v="1.0781243421725297"/>
        <n v="0.92986374582335762"/>
        <n v="0.9630594107426701"/>
        <n v="0.98428167438391501"/>
        <n v="1.179513362152222"/>
        <n v="1.0158749448786635"/>
        <n v="0.98403192457093158"/>
        <n v="1.1011395528942656"/>
        <n v="0.96288530464070043"/>
        <n v="0.99584963985169384"/>
        <n v="0.96320270606520653"/>
        <n v="0.9916119749108786"/>
        <n v="0.9200124878637862"/>
        <n v="0.91309052428606052"/>
        <n v="1.056867425912692"/>
        <n v="1.0246160434167142"/>
        <n v="0.92271902906163128"/>
        <n v="0.89143791837912878"/>
        <n v="0.89927123463829051"/>
        <n v="0.87310598070009804"/>
        <n v="0.91637528814098645"/>
        <n v="1.1700579038735801"/>
        <n v="0.90087565962608152"/>
        <n v="1.1228739253614692"/>
        <n v="0.98466757944302541"/>
        <n v="0.99721319847056344"/>
        <n v="0.92342237643816505"/>
        <n v="0.92401766504359628"/>
        <n v="0.98629321285155513"/>
        <n v="1.0284335909149127"/>
        <n v="0.92147564519476921"/>
        <n v="1.0586409834821016"/>
        <n v="1.075635393975322"/>
        <n v="1.0749673771991022"/>
        <n v="1.0707675958199798"/>
        <n v="1.0297639765846363"/>
        <n v="1.0290906592605855"/>
        <n v="0.96862503740377026"/>
        <n v="0.88597892920504517"/>
        <n v="0.92302661161754496"/>
        <n v="1.0101542830551147"/>
        <n v="0.89199498975176494"/>
        <n v="0.98287962310886623"/>
        <n v="1.1561602982292638"/>
        <n v="1.1212424070804321"/>
        <n v="1.0977052085950965"/>
        <n v="0.97923633344197913"/>
        <n v="0.9683175261185436"/>
        <n v="0.91720849377942493"/>
        <n v="0.9283745073536479"/>
        <n v="0.85104909337217205"/>
        <n v="0.91917786395129686"/>
        <n v="1.0065303963062715"/>
        <n v="0.96216563986846837"/>
        <n v="1.010178688333033"/>
        <n v="0.9229280743102305"/>
        <n v="1.003593990063252"/>
        <n v="0.89796062109812713"/>
        <n v="0.99127106955299849"/>
        <n v="1.0240064334437091"/>
        <n v="0.87082462570149799"/>
        <n v="0.96367038091814816"/>
        <n v="1.0300398560696411"/>
        <n v="0.91481317358940062"/>
        <n v="1.1054725714369149"/>
        <n v="0.86569080347670968"/>
        <n v="0.93687990659849429"/>
        <n v="0.95200019712444717"/>
        <n v="1.0454075349714265"/>
        <n v="1.0439359030652267"/>
        <n v="1.1724679703304113"/>
        <n v="0.9468527432568461"/>
        <n v="0.92895910985922403"/>
        <n v="1.0731938403479597"/>
        <n v="0.99297735186593206"/>
        <n v="0.99508074818388104"/>
        <n v="0.96243819946698272"/>
        <n v="1.0037482901953494"/>
        <n v="1.0537714661435209"/>
        <n v="1.0542155891269891"/>
        <n v="1.003697279881792"/>
        <n v="1.0171697452600978"/>
        <n v="0.99996420301365885"/>
        <n v="1.0511553845018728"/>
        <n v="1.0091473558600366"/>
        <n v="0.99872001170275004"/>
        <n v="0.87622839213829029"/>
        <n v="1.1417041585603114"/>
        <n v="0.93365797252510119"/>
        <n v="1.1302422858086731"/>
        <n v="0.94283140660400988"/>
        <n v="0.94076837166883076"/>
        <n v="0.92994450253358008"/>
        <n v="1.0487715901859871"/>
        <n v="0.88159737584183551"/>
        <n v="0.88876297892632772"/>
        <n v="0.99912505416984365"/>
        <n v="1.0809046866382492"/>
        <n v="1.171682548277357"/>
        <n v="0.98207076085670331"/>
        <n v="0.85495730159253513"/>
        <n v="1.0024553586141891"/>
        <n v="0.94958982176022111"/>
        <n v="0.87773481261971031"/>
        <n v="0.88220002806158238"/>
        <n v="0.95733178952785281"/>
        <n v="0.86733034638466111"/>
        <n v="1.0193261173630768"/>
        <n v="0.94293996138687541"/>
        <n v="1.0942246196912577"/>
        <n v="1.1083274914216139"/>
        <n v="0.97859010156519433"/>
        <n v="0.9739825044149657"/>
        <n v="0.91582472288379912"/>
        <n v="1.1714493643614947"/>
        <n v="1.0170130218544278"/>
        <n v="1.0840909192659485"/>
        <n v="1.0372316916159035"/>
        <n v="1.0289607196599049"/>
        <n v="0.96022562407938239"/>
        <n v="1.1960428579106199"/>
        <n v="1.0553933770787052"/>
        <n v="0.96713167904152186"/>
        <n v="0.98686043184966565"/>
        <n v="0.95302913187921356"/>
        <n v="0.95297074046995367"/>
        <n v="1.0415161453144366"/>
        <n v="0.99917366921249473"/>
        <n v="0.88150029056496937"/>
        <n v="1.059333514898847"/>
        <n v="0.89216434131417288"/>
        <n v="1.1458645072323446"/>
        <n v="0.90455194183028231"/>
        <n v="0.98217253823277029"/>
        <n v="0.92430571227925074"/>
        <n v="1.0027064093024614"/>
        <n v="1.114494345990674"/>
        <n v="0.94784232732824847"/>
        <n v="1.1083537749679966"/>
        <n v="0.87670301234444648"/>
        <n v="1.010220951952423"/>
        <n v="1.0766484559809291"/>
        <n v="1.0023289097890884"/>
        <n v="1.006005845583269"/>
        <n v="0.97425464841410359"/>
        <n v="1.1025833204343825"/>
        <n v="0.86455927957313838"/>
        <n v="0.97776629294069251"/>
        <n v="0.91628327722414837"/>
        <n v="0.97415484019845389"/>
        <n v="0.93607038452468738"/>
        <n v="1.1119503335545389"/>
        <n v="0.90240108029083044"/>
        <n v="0.93187428630140312"/>
        <n v="0.90298534855419677"/>
        <n v="0.96467785993304622"/>
        <n v="0.94597410286350059"/>
        <n v="1.0973716693052833"/>
        <n v="0.97560875357825882"/>
        <n v="0.91848428540668126"/>
        <n v="1.1877860029369125"/>
        <n v="0.94555739366106784"/>
        <n v="1.0651244179636503"/>
        <n v="0.94959280441632532"/>
        <n v="0.95829629385123727"/>
        <n v="0.86888520233408451"/>
        <n v="0.89301215552847479"/>
        <n v="1.0146178924030633"/>
        <n v="0.94527217747417991"/>
        <n v="1.0057434383623181"/>
        <n v="0.97080281995698647"/>
        <n v="1.0078780938135414"/>
        <n v="0.93381670436257147"/>
        <n v="1.0289124668435012"/>
        <n v="1.0156603602788088"/>
        <n v="1.0109603217536514"/>
        <n v="0.94633093990877759"/>
        <n v="0.95691435540930736"/>
        <n v="1.0287346784596723"/>
        <n v="1.0830168676969469"/>
        <n v="1.0249066418267987"/>
        <n v="1.044458699584482"/>
        <n v="1.0169288797150342"/>
        <n v="0.96977021097435012"/>
        <n v="0.97600509163152283"/>
        <n v="0.95079759444586343"/>
        <n v="0.97318256458725017"/>
        <n v="0.9092456221538131"/>
        <n v="0.99434601314484117"/>
        <n v="0.8566876109337942"/>
        <n v="1.0044404993674405"/>
        <n v="1.0136954872717001"/>
        <n v="0.96471796041749847"/>
        <n v="1.117928246115568"/>
        <n v="0.87783564147377946"/>
        <n v="0.90316628400038956"/>
        <n v="1.0153970177550842"/>
        <n v="1.0229106037227289"/>
        <n v="0.87571122865329842"/>
        <n v="0.8604281365373404"/>
        <n v="1.0669126000433999"/>
        <n v="0.93064185689485757"/>
        <n v="1.0175860148828106"/>
        <n v="1.0149857112985292"/>
        <n v="1.0742567124431108"/>
        <n v="0.88007811629823796"/>
        <n v="0.89189469327526949"/>
        <n v="0.99332554612324719"/>
        <n v="0.94362778376965906"/>
        <n v="0.98012269907147687"/>
        <n v="1.0414048262124289"/>
        <n v="0.98683670434106752"/>
        <n v="0.87054252410418775"/>
        <n v="0.8558696922869401"/>
        <n v="1.008825945821723"/>
        <n v="0.90815496986336885"/>
        <n v="1.0245920497058789"/>
        <n v="0.87017377083414738"/>
        <n v="0.90081251168510845"/>
        <n v="1.0015519494663474"/>
        <n v="0.96422168821756871"/>
        <n v="1.0851910933571363"/>
        <n v="1.042591333180811"/>
        <n v="0.94724535724511971"/>
        <n v="1.0227220952246285"/>
        <n v="1.232008601207073"/>
        <n v="0.95903170391772807"/>
        <n v="1.0640407130121676"/>
        <n v="1.1825217998865003"/>
        <n v="1.1029674672002279"/>
        <n v="1.2237442922374431"/>
        <n v="1.1011980556390946"/>
        <n v="1.0289680772086116"/>
        <n v="1.1671907310546161"/>
        <n v="0.93129222216743268"/>
        <n v="0.98387806087599294"/>
        <n v="1.0615802659091806"/>
        <n v="1.0428845452439839"/>
        <n v="0.98785796330975617"/>
        <n v="0.91335148543020261"/>
        <n v="1.0348354234321264"/>
        <n v="0.99074376677483178"/>
        <n v="1.0013708650849877"/>
        <n v="1.0680175470428352"/>
        <n v="1.050885666248969"/>
        <n v="0.8849542576499877"/>
        <n v="1.0067095734788505"/>
        <n v="1.0161639269595462"/>
        <n v="1.0734231354945485"/>
        <n v="1.0680953804843736"/>
        <n v="1.0068586778202422"/>
        <n v="1.0889790398918189"/>
        <n v="1.0175358638800269"/>
        <n v="0.99001259856706669"/>
        <n v="1.1520293238580244"/>
        <n v="1.0386449447963455"/>
        <n v="1.1969536696862479"/>
        <n v="0.9406586156680693"/>
        <n v="0.95081183282202952"/>
        <n v="0.86182043317465606"/>
        <n v="0.92778309387568014"/>
        <n v="1.1778690956945823"/>
        <n v="1.0266360792003713"/>
        <n v="1.1735641578924192"/>
        <n v="0.99741461869267101"/>
        <n v="1.1407425664208011"/>
        <n v="0.9182052385968944"/>
        <n v="1.0054457432644111"/>
        <n v="1.0148563489927847"/>
        <n v="1.1518682871081971"/>
        <n v="0.99459898065268659"/>
        <n v="0.96812127304713391"/>
        <n v="1.0706365031555338"/>
        <n v="0.91296598752484792"/>
        <n v="1.0126414855364969"/>
        <n v="0.97354120517525866"/>
        <n v="0.91482106238563421"/>
        <n v="1.0756930248741663"/>
        <n v="1.0991031415821904"/>
        <n v="0.9346657340372303"/>
        <n v="0.96268124845861325"/>
        <n v="1.0410217379197682"/>
        <n v="0.90713013939888154"/>
        <n v="0.89345226364539787"/>
        <n v="1.0985561943020987"/>
        <n v="0.98456584499222743"/>
        <n v="0.96294241810807513"/>
        <n v="1.0254114395273921"/>
        <n v="1.0088679455307781"/>
        <n v="0.95004578729768241"/>
        <n v="1.1921031313808599"/>
        <n v="0.96559237032702949"/>
        <n v="0.9649843537682028"/>
        <n v="1.049289470465941"/>
        <n v="1.0231081767394616"/>
        <n v="0.94829382413685948"/>
        <n v="0.91734269560459603"/>
        <n v="0.9570611584204598"/>
        <n v="0.96493771657807847"/>
        <n v="1.0461270501091018"/>
        <n v="1.0167063603250208"/>
        <n v="0.89916727988642586"/>
        <n v="0.97973271238439974"/>
        <n v="0.94821245792488729"/>
        <n v="0.95300941500916259"/>
        <n v="1.0209624087027873"/>
        <n v="1.0517952191190274"/>
        <n v="0.91921858699661541"/>
        <n v="0.95873846142543873"/>
        <n v="1.0265444836328921"/>
        <n v="0.98703882232321838"/>
        <n v="1.0671616729295093"/>
        <n v="0.91727725984693598"/>
        <n v="1.0519975804682884"/>
        <n v="1.1005606713004026"/>
        <n v="1.1100522047679247"/>
        <n v="0.88079758245731843"/>
        <n v="1.039440431557425"/>
        <n v="1.1707088344887251"/>
        <n v="0.90769185689068854"/>
        <n v="0.90697288585513847"/>
        <n v="1.068687198596564"/>
        <n v="0.8536810845599454"/>
        <n v="0.99263229560181465"/>
        <n v="0.84825484240709792"/>
        <n v="1.0296332518337408"/>
        <n v="0.93335978785989171"/>
        <n v="0.9520965806950531"/>
        <n v="0.99845315174072791"/>
        <n v="1.0547050701623248"/>
        <n v="0.97324554235236704"/>
        <n v="1.0724391128568522"/>
        <n v="0.91850329947451625"/>
        <n v="1.0354518321587118"/>
        <n v="0.99756289959282085"/>
        <n v="1.0596082973651801"/>
        <n v="0.99814830343471328"/>
        <n v="1.0109152494077041"/>
        <n v="1.2383515920330455"/>
        <n v="0.98419360400515965"/>
        <n v="1.0683239309575134"/>
        <n v="0.9370896169079288"/>
        <n v="0.99795503486985659"/>
        <n v="1.0084327781366142"/>
        <n v="1.1451848356606751"/>
        <n v="1.0330198788849849"/>
        <n v="1.0175426539684378"/>
        <n v="1.0232251983402374"/>
        <n v="1.1414027384670771"/>
        <n v="0.98656728165571728"/>
        <n v="1.0699730249010702"/>
        <n v="0.96013876369545637"/>
        <n v="0.93513011263600965"/>
        <n v="0.99323995624989803"/>
        <n v="0.90694456032937532"/>
        <n v="0.98266833731950021"/>
        <n v="0.89770106658979543"/>
        <n v="0.8733214008978144"/>
        <n v="1.1443172017740761"/>
        <n v="0.9745651636847793"/>
        <n v="0.9891445117863733"/>
        <n v="0.98982843810989862"/>
        <n v="0.85802769230769238"/>
        <n v="0.96764227872801389"/>
        <n v="1.060068579057011"/>
        <n v="1.1300081362952736"/>
        <n v="0.97193998199765053"/>
        <n v="0.88279898549782143"/>
        <n v="0.85395083604409527"/>
        <n v="1.0330700310968037"/>
        <n v="1.0106300123821734"/>
        <n v="0.94056912423406658"/>
        <n v="0.85868218951348496"/>
        <n v="0.92333995209783581"/>
        <n v="0.98036472777770989"/>
        <n v="0.97296090943962066"/>
        <n v="0.97790325420059854"/>
        <n v="0.89885752567790744"/>
        <n v="0.94791849549205309"/>
        <n v="1.1547524192834426"/>
        <n v="1.2286799105489168"/>
        <n v="0.96072501528726773"/>
        <n v="0.99171218074257883"/>
        <n v="1.0266114512063378"/>
        <n v="1.0140989021114333"/>
        <n v="0.87684682809573067"/>
        <n v="1.0259943833220377"/>
        <n v="1.0484171454540376"/>
        <n v="0.96225060193463896"/>
        <n v="1.0564668709671279"/>
        <n v="1.0275734280388675"/>
        <n v="0.98443876684101095"/>
        <n v="1.0019207074001595"/>
        <n v="0.96378327141524878"/>
        <n v="1.0023567076041484"/>
        <n v="0.95749857693173235"/>
        <n v="0.98227951473623432"/>
        <n v="1.0182871860914358"/>
        <n v="1.0003579659995101"/>
        <n v="0.93177820191789251"/>
        <n v="1.0158912129467057"/>
        <n v="1.1449094550613368"/>
        <n v="1.0875889031796464"/>
        <n v="1.148469923931174"/>
        <n v="1.0313547850611151"/>
        <n v="0.96808684965178204"/>
        <n v="1.0183708681180306"/>
        <n v="0.9445123934050681"/>
        <n v="0.95871000382965421"/>
        <n v="0.97000469114902554"/>
        <n v="0.91905671246422305"/>
        <n v="0.9974148009286472"/>
      </sharedItems>
    </cacheField>
    <cacheField name="Sales Variance" numFmtId="0" formula="'Sales_ Amount'-Sales_Target" databaseField="0"/>
  </cacheFields>
  <extLst>
    <ext xmlns:x14="http://schemas.microsoft.com/office/spreadsheetml/2009/9/main" uri="{725AE2AE-9491-48be-B2B4-4EB974FC3084}">
      <x14:pivotCacheDefinition pivotCacheId="5495124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0">
  <r>
    <d v="2022-01-01T00:00:00"/>
    <x v="0"/>
    <s v="13962.08"/>
    <s v="15035.8"/>
    <s v="South"/>
    <x v="0"/>
    <x v="0"/>
    <x v="0"/>
    <x v="0"/>
    <n v="15035.8"/>
    <s v="Jan"/>
    <n v="1"/>
    <x v="0"/>
  </r>
  <r>
    <d v="2022-01-02T00:00:00"/>
    <x v="1"/>
    <s v="7559.78"/>
    <s v="6458.58"/>
    <s v="North"/>
    <x v="1"/>
    <x v="0"/>
    <x v="1"/>
    <x v="1"/>
    <n v="6458.58"/>
    <s v="Jan"/>
    <n v="1"/>
    <x v="1"/>
  </r>
  <r>
    <d v="2022-01-03T00:00:00"/>
    <x v="2"/>
    <s v="-6941.61"/>
    <s v="-6164.43"/>
    <s v="North"/>
    <x v="2"/>
    <x v="1"/>
    <x v="0"/>
    <x v="2"/>
    <n v="-6164.43"/>
    <s v="Jan"/>
    <n v="1"/>
    <x v="2"/>
  </r>
  <r>
    <d v="2022-01-04T00:00:00"/>
    <x v="3"/>
    <s v="16388.47"/>
    <s v="16636.95"/>
    <s v="North"/>
    <x v="1"/>
    <x v="2"/>
    <x v="1"/>
    <x v="3"/>
    <n v="16636.95"/>
    <s v="Jan"/>
    <n v="1"/>
    <x v="3"/>
  </r>
  <r>
    <d v="2022-01-05T00:00:00"/>
    <x v="2"/>
    <s v="11788.56"/>
    <s v="12178.41"/>
    <s v="East"/>
    <x v="1"/>
    <x v="1"/>
    <x v="1"/>
    <x v="4"/>
    <n v="12178.41"/>
    <s v="Jan"/>
    <n v="1"/>
    <x v="4"/>
  </r>
  <r>
    <d v="2022-01-06T00:00:00"/>
    <x v="4"/>
    <s v="15408.73"/>
    <s v="13256.93"/>
    <s v="East"/>
    <x v="3"/>
    <x v="0"/>
    <x v="0"/>
    <x v="5"/>
    <n v="13256.93"/>
    <s v="Jan"/>
    <n v="1"/>
    <x v="5"/>
  </r>
  <r>
    <d v="2022-01-07T00:00:00"/>
    <x v="2"/>
    <s v="9572.09"/>
    <s v="10822.66"/>
    <s v="West"/>
    <x v="3"/>
    <x v="0"/>
    <x v="1"/>
    <x v="6"/>
    <n v="10822.66"/>
    <s v="Jan"/>
    <n v="1"/>
    <x v="6"/>
  </r>
  <r>
    <d v="2022-01-08T00:00:00"/>
    <x v="1"/>
    <s v="4702.69"/>
    <s v="4735.75"/>
    <s v="East"/>
    <x v="2"/>
    <x v="2"/>
    <x v="2"/>
    <x v="7"/>
    <n v="4735.75"/>
    <s v="Jan"/>
    <n v="1"/>
    <x v="7"/>
  </r>
  <r>
    <d v="2022-01-09T00:00:00"/>
    <x v="0"/>
    <s v="7296.39"/>
    <s v="6493.59"/>
    <s v="North"/>
    <x v="1"/>
    <x v="1"/>
    <x v="3"/>
    <x v="8"/>
    <n v="6493.59"/>
    <s v="Jan"/>
    <n v="1"/>
    <x v="8"/>
  </r>
  <r>
    <d v="2022-01-10T00:00:00"/>
    <x v="4"/>
    <s v="10941.19"/>
    <s v="11285.09"/>
    <s v="East"/>
    <x v="3"/>
    <x v="2"/>
    <x v="2"/>
    <x v="9"/>
    <n v="11285.09"/>
    <s v="Jan"/>
    <n v="1"/>
    <x v="9"/>
  </r>
  <r>
    <d v="2022-01-11T00:00:00"/>
    <x v="1"/>
    <s v="-4917.68"/>
    <s v="-4433.15"/>
    <s v="West"/>
    <x v="1"/>
    <x v="1"/>
    <x v="3"/>
    <x v="10"/>
    <n v="-4433.1499999999996"/>
    <s v="Jan"/>
    <n v="1"/>
    <x v="10"/>
  </r>
  <r>
    <d v="2022-01-12T00:00:00"/>
    <x v="1"/>
    <s v="6711.35"/>
    <s v="7316.03"/>
    <s v="South"/>
    <x v="1"/>
    <x v="2"/>
    <x v="4"/>
    <x v="11"/>
    <n v="7316.03"/>
    <s v="Jan"/>
    <n v="1"/>
    <x v="11"/>
  </r>
  <r>
    <d v="2022-01-13T00:00:00"/>
    <x v="3"/>
    <s v="16777.64"/>
    <s v="15350.91"/>
    <s v="North"/>
    <x v="3"/>
    <x v="2"/>
    <x v="5"/>
    <x v="12"/>
    <n v="15350.91"/>
    <s v="Jan"/>
    <n v="1"/>
    <x v="12"/>
  </r>
  <r>
    <d v="2022-01-14T00:00:00"/>
    <x v="1"/>
    <s v="-6039.5"/>
    <s v="-5969.32"/>
    <s v="East"/>
    <x v="1"/>
    <x v="1"/>
    <x v="6"/>
    <x v="13"/>
    <n v="-5969.32"/>
    <s v="Jan"/>
    <n v="1"/>
    <x v="13"/>
  </r>
  <r>
    <d v="2022-01-15T00:00:00"/>
    <x v="0"/>
    <s v="7118.09"/>
    <s v="7002.25"/>
    <s v="North"/>
    <x v="0"/>
    <x v="1"/>
    <x v="6"/>
    <x v="14"/>
    <n v="7002.25"/>
    <s v="Jan"/>
    <n v="1"/>
    <x v="14"/>
  </r>
  <r>
    <d v="2022-01-16T00:00:00"/>
    <x v="3"/>
    <s v="4876.19"/>
    <s v="4352.2"/>
    <s v="South"/>
    <x v="3"/>
    <x v="1"/>
    <x v="6"/>
    <x v="15"/>
    <n v="4352.2"/>
    <s v="Jan"/>
    <n v="1"/>
    <x v="15"/>
  </r>
  <r>
    <d v="2022-01-17T00:00:00"/>
    <x v="0"/>
    <s v="4034.95"/>
    <s v="4102.07"/>
    <s v="South"/>
    <x v="2"/>
    <x v="1"/>
    <x v="7"/>
    <x v="16"/>
    <n v="4102.07"/>
    <s v="Jan"/>
    <n v="1"/>
    <x v="16"/>
  </r>
  <r>
    <d v="2022-01-18T00:00:00"/>
    <x v="3"/>
    <s v="2357.21"/>
    <s v="2359.21"/>
    <s v="South"/>
    <x v="2"/>
    <x v="1"/>
    <x v="6"/>
    <x v="17"/>
    <n v="2359.21"/>
    <s v="Jan"/>
    <n v="1"/>
    <x v="17"/>
  </r>
  <r>
    <d v="2022-01-19T00:00:00"/>
    <x v="4"/>
    <s v="10570.9"/>
    <s v="11016.71"/>
    <s v="East"/>
    <x v="3"/>
    <x v="1"/>
    <x v="2"/>
    <x v="18"/>
    <n v="11016.71"/>
    <s v="Jan"/>
    <n v="1"/>
    <x v="18"/>
  </r>
  <r>
    <d v="2022-01-20T00:00:00"/>
    <x v="0"/>
    <s v="16542.95"/>
    <s v="18108.94"/>
    <s v="South"/>
    <x v="3"/>
    <x v="2"/>
    <x v="2"/>
    <x v="19"/>
    <n v="18108.939999999999"/>
    <s v="Jan"/>
    <n v="1"/>
    <x v="19"/>
  </r>
  <r>
    <d v="2022-01-21T00:00:00"/>
    <x v="4"/>
    <s v="17211.56"/>
    <s v="18410.7"/>
    <s v="South"/>
    <x v="2"/>
    <x v="2"/>
    <x v="0"/>
    <x v="20"/>
    <n v="18410.7"/>
    <s v="Jan"/>
    <n v="1"/>
    <x v="20"/>
  </r>
  <r>
    <d v="2022-01-22T00:00:00"/>
    <x v="4"/>
    <s v="14463.8"/>
    <s v="14428.64"/>
    <s v="South"/>
    <x v="0"/>
    <x v="0"/>
    <x v="4"/>
    <x v="21"/>
    <n v="14428.64"/>
    <s v="Jan"/>
    <n v="1"/>
    <x v="21"/>
  </r>
  <r>
    <d v="2022-01-23T00:00:00"/>
    <x v="1"/>
    <s v="10288.79"/>
    <s v="9069.6"/>
    <s v="West"/>
    <x v="1"/>
    <x v="2"/>
    <x v="1"/>
    <x v="22"/>
    <n v="9069.6"/>
    <s v="Jan"/>
    <n v="1"/>
    <x v="22"/>
  </r>
  <r>
    <d v="2022-01-24T00:00:00"/>
    <x v="3"/>
    <s v="11490.84"/>
    <s v="11986.98"/>
    <s v="North"/>
    <x v="2"/>
    <x v="0"/>
    <x v="7"/>
    <x v="23"/>
    <n v="11986.98"/>
    <s v="Jan"/>
    <n v="1"/>
    <x v="23"/>
  </r>
  <r>
    <d v="2022-01-25T00:00:00"/>
    <x v="2"/>
    <s v="21021.85"/>
    <s v="20805.26"/>
    <s v="South"/>
    <x v="0"/>
    <x v="2"/>
    <x v="4"/>
    <x v="24"/>
    <n v="20805.259999999998"/>
    <s v="Jan"/>
    <n v="1"/>
    <x v="24"/>
  </r>
  <r>
    <d v="2022-01-26T00:00:00"/>
    <x v="2"/>
    <s v="2562.59"/>
    <s v="2650.27"/>
    <s v="North"/>
    <x v="1"/>
    <x v="0"/>
    <x v="5"/>
    <x v="25"/>
    <n v="2650.27"/>
    <s v="Jan"/>
    <n v="1"/>
    <x v="25"/>
  </r>
  <r>
    <d v="2022-01-27T00:00:00"/>
    <x v="3"/>
    <s v="14731.19"/>
    <s v="12673.28"/>
    <s v="West"/>
    <x v="1"/>
    <x v="1"/>
    <x v="3"/>
    <x v="26"/>
    <n v="12673.28"/>
    <s v="Jan"/>
    <n v="1"/>
    <x v="26"/>
  </r>
  <r>
    <d v="2022-01-28T00:00:00"/>
    <x v="2"/>
    <s v="13750.83"/>
    <s v="14924.98"/>
    <s v="North"/>
    <x v="3"/>
    <x v="2"/>
    <x v="0"/>
    <x v="27"/>
    <n v="14924.98"/>
    <s v="Jan"/>
    <n v="1"/>
    <x v="27"/>
  </r>
  <r>
    <d v="2022-01-29T00:00:00"/>
    <x v="3"/>
    <s v="7594.65"/>
    <s v="8048.22"/>
    <s v="North"/>
    <x v="3"/>
    <x v="2"/>
    <x v="3"/>
    <x v="28"/>
    <n v="8048.22"/>
    <s v="Jan"/>
    <n v="1"/>
    <x v="28"/>
  </r>
  <r>
    <d v="2022-01-30T00:00:00"/>
    <x v="0"/>
    <s v="9643.41"/>
    <s v="9411.94"/>
    <s v="South"/>
    <x v="1"/>
    <x v="1"/>
    <x v="3"/>
    <x v="29"/>
    <n v="9411.94"/>
    <s v="Jan"/>
    <n v="1"/>
    <x v="29"/>
  </r>
  <r>
    <d v="2022-01-31T00:00:00"/>
    <x v="3"/>
    <s v="5999.41"/>
    <s v="5139.09"/>
    <s v="North"/>
    <x v="1"/>
    <x v="0"/>
    <x v="5"/>
    <x v="30"/>
    <n v="5139.09"/>
    <s v="Jan"/>
    <n v="1"/>
    <x v="30"/>
  </r>
  <r>
    <d v="2022-02-01T00:00:00"/>
    <x v="2"/>
    <s v="8558.8"/>
    <s v="8813.7"/>
    <s v="West"/>
    <x v="2"/>
    <x v="0"/>
    <x v="3"/>
    <x v="31"/>
    <n v="8813.7000000000007"/>
    <s v="Feb"/>
    <n v="2"/>
    <x v="31"/>
  </r>
  <r>
    <d v="2022-02-02T00:00:00"/>
    <x v="2"/>
    <s v="8200.59"/>
    <s v="9463.09"/>
    <s v="North"/>
    <x v="0"/>
    <x v="1"/>
    <x v="7"/>
    <x v="32"/>
    <n v="9463.09"/>
    <s v="Feb"/>
    <n v="2"/>
    <x v="32"/>
  </r>
  <r>
    <d v="2022-02-03T00:00:00"/>
    <x v="0"/>
    <s v="-1089.74"/>
    <s v="-1028.83"/>
    <s v="North"/>
    <x v="0"/>
    <x v="0"/>
    <x v="3"/>
    <x v="33"/>
    <n v="-1028.83"/>
    <s v="Feb"/>
    <n v="2"/>
    <x v="33"/>
  </r>
  <r>
    <d v="2022-02-04T00:00:00"/>
    <x v="3"/>
    <s v="5331.12"/>
    <s v="4770.18"/>
    <s v="West"/>
    <x v="0"/>
    <x v="1"/>
    <x v="7"/>
    <x v="34"/>
    <n v="4770.18"/>
    <s v="Feb"/>
    <n v="2"/>
    <x v="34"/>
  </r>
  <r>
    <d v="2022-02-05T00:00:00"/>
    <x v="3"/>
    <s v="8165.11"/>
    <s v="7684.12"/>
    <s v="South"/>
    <x v="0"/>
    <x v="2"/>
    <x v="6"/>
    <x v="35"/>
    <n v="7684.12"/>
    <s v="Feb"/>
    <n v="2"/>
    <x v="35"/>
  </r>
  <r>
    <d v="2022-02-06T00:00:00"/>
    <x v="4"/>
    <s v="14401.2"/>
    <s v="14071.13"/>
    <s v="South"/>
    <x v="2"/>
    <x v="2"/>
    <x v="4"/>
    <x v="36"/>
    <n v="14071.13"/>
    <s v="Feb"/>
    <n v="2"/>
    <x v="36"/>
  </r>
  <r>
    <d v="2022-02-07T00:00:00"/>
    <x v="4"/>
    <s v="15438.24"/>
    <s v="15359.86"/>
    <s v="South"/>
    <x v="0"/>
    <x v="0"/>
    <x v="2"/>
    <x v="37"/>
    <n v="15359.86"/>
    <s v="Feb"/>
    <n v="2"/>
    <x v="37"/>
  </r>
  <r>
    <d v="2022-02-08T00:00:00"/>
    <x v="1"/>
    <s v="-8267.75"/>
    <s v="-7577.32"/>
    <s v="North"/>
    <x v="0"/>
    <x v="0"/>
    <x v="5"/>
    <x v="38"/>
    <n v="-7577.32"/>
    <s v="Feb"/>
    <n v="2"/>
    <x v="38"/>
  </r>
  <r>
    <d v="2022-02-09T00:00:00"/>
    <x v="1"/>
    <s v="4295.27"/>
    <s v="4374.53"/>
    <s v="South"/>
    <x v="2"/>
    <x v="1"/>
    <x v="4"/>
    <x v="39"/>
    <n v="4374.53"/>
    <s v="Feb"/>
    <n v="2"/>
    <x v="39"/>
  </r>
  <r>
    <d v="2022-02-10T00:00:00"/>
    <x v="1"/>
    <s v="4178.34"/>
    <s v="4126.2"/>
    <s v="South"/>
    <x v="3"/>
    <x v="0"/>
    <x v="5"/>
    <x v="40"/>
    <n v="4126.2"/>
    <s v="Feb"/>
    <n v="2"/>
    <x v="40"/>
  </r>
  <r>
    <d v="2022-02-11T00:00:00"/>
    <x v="3"/>
    <s v="5015.68"/>
    <s v="5409.07"/>
    <s v="East"/>
    <x v="3"/>
    <x v="0"/>
    <x v="0"/>
    <x v="41"/>
    <n v="5409.07"/>
    <s v="Feb"/>
    <n v="2"/>
    <x v="41"/>
  </r>
  <r>
    <d v="2022-02-12T00:00:00"/>
    <x v="2"/>
    <s v="13198.63"/>
    <s v="12654.04"/>
    <s v="South"/>
    <x v="3"/>
    <x v="2"/>
    <x v="5"/>
    <x v="42"/>
    <n v="12654.04"/>
    <s v="Feb"/>
    <n v="2"/>
    <x v="42"/>
  </r>
  <r>
    <d v="2022-02-13T00:00:00"/>
    <x v="3"/>
    <s v="4704.61"/>
    <s v="4673.08"/>
    <s v="West"/>
    <x v="0"/>
    <x v="2"/>
    <x v="7"/>
    <x v="43"/>
    <n v="4673.08"/>
    <s v="Feb"/>
    <n v="2"/>
    <x v="43"/>
  </r>
  <r>
    <d v="2022-02-14T00:00:00"/>
    <x v="0"/>
    <s v="21310.49"/>
    <s v="21265.74"/>
    <s v="North"/>
    <x v="1"/>
    <x v="1"/>
    <x v="0"/>
    <x v="44"/>
    <n v="21265.74"/>
    <s v="Feb"/>
    <n v="2"/>
    <x v="44"/>
  </r>
  <r>
    <d v="2022-02-15T00:00:00"/>
    <x v="2"/>
    <s v="5523.8"/>
    <s v="5477.84"/>
    <s v="South"/>
    <x v="1"/>
    <x v="1"/>
    <x v="7"/>
    <x v="45"/>
    <n v="5477.84"/>
    <s v="Feb"/>
    <n v="2"/>
    <x v="45"/>
  </r>
  <r>
    <d v="2022-02-16T00:00:00"/>
    <x v="2"/>
    <s v="7863.18"/>
    <s v="7580.08"/>
    <s v="East"/>
    <x v="1"/>
    <x v="1"/>
    <x v="5"/>
    <x v="46"/>
    <n v="7580.08"/>
    <s v="Feb"/>
    <n v="2"/>
    <x v="46"/>
  </r>
  <r>
    <d v="2022-02-17T00:00:00"/>
    <x v="3"/>
    <s v="7902.37"/>
    <s v="7599.08"/>
    <s v="South"/>
    <x v="1"/>
    <x v="0"/>
    <x v="0"/>
    <x v="47"/>
    <n v="7599.08"/>
    <s v="Feb"/>
    <n v="2"/>
    <x v="47"/>
  </r>
  <r>
    <d v="2022-02-18T00:00:00"/>
    <x v="2"/>
    <s v="12516.57"/>
    <s v="12207.46"/>
    <s v="West"/>
    <x v="2"/>
    <x v="0"/>
    <x v="2"/>
    <x v="48"/>
    <n v="12207.46"/>
    <s v="Feb"/>
    <n v="2"/>
    <x v="48"/>
  </r>
  <r>
    <d v="2022-02-19T00:00:00"/>
    <x v="3"/>
    <s v="10261.31"/>
    <s v="11234.83"/>
    <s v="North"/>
    <x v="1"/>
    <x v="0"/>
    <x v="2"/>
    <x v="49"/>
    <n v="11234.83"/>
    <s v="Feb"/>
    <n v="2"/>
    <x v="49"/>
  </r>
  <r>
    <d v="2022-02-20T00:00:00"/>
    <x v="0"/>
    <s v="7703.49"/>
    <s v="7630.25"/>
    <s v="West"/>
    <x v="0"/>
    <x v="0"/>
    <x v="1"/>
    <x v="50"/>
    <n v="7630.25"/>
    <s v="Feb"/>
    <n v="2"/>
    <x v="50"/>
  </r>
  <r>
    <d v="2022-02-21T00:00:00"/>
    <x v="0"/>
    <s v="2873.58"/>
    <s v="2971.31"/>
    <s v="East"/>
    <x v="2"/>
    <x v="1"/>
    <x v="5"/>
    <x v="51"/>
    <n v="2971.31"/>
    <s v="Feb"/>
    <n v="2"/>
    <x v="51"/>
  </r>
  <r>
    <d v="2022-02-22T00:00:00"/>
    <x v="3"/>
    <s v="20981.65"/>
    <s v="22673.16"/>
    <s v="South"/>
    <x v="2"/>
    <x v="1"/>
    <x v="6"/>
    <x v="52"/>
    <n v="22673.16"/>
    <s v="Feb"/>
    <n v="2"/>
    <x v="52"/>
  </r>
  <r>
    <d v="2022-02-23T00:00:00"/>
    <x v="1"/>
    <s v="11422.42"/>
    <s v="10406.04"/>
    <s v="West"/>
    <x v="0"/>
    <x v="1"/>
    <x v="5"/>
    <x v="53"/>
    <n v="10406.040000000001"/>
    <s v="Feb"/>
    <n v="2"/>
    <x v="53"/>
  </r>
  <r>
    <d v="2022-02-24T00:00:00"/>
    <x v="2"/>
    <s v="12514.84"/>
    <s v="12877.68"/>
    <s v="East"/>
    <x v="3"/>
    <x v="0"/>
    <x v="0"/>
    <x v="54"/>
    <n v="12877.68"/>
    <s v="Feb"/>
    <n v="2"/>
    <x v="54"/>
  </r>
  <r>
    <d v="2022-02-25T00:00:00"/>
    <x v="3"/>
    <s v="2965.43"/>
    <s v="3291.33"/>
    <s v="East"/>
    <x v="1"/>
    <x v="1"/>
    <x v="5"/>
    <x v="55"/>
    <n v="3291.33"/>
    <s v="Feb"/>
    <n v="2"/>
    <x v="55"/>
  </r>
  <r>
    <d v="2022-02-26T00:00:00"/>
    <x v="2"/>
    <s v="-5969.03"/>
    <s v="-6416.16"/>
    <s v="North"/>
    <x v="2"/>
    <x v="1"/>
    <x v="2"/>
    <x v="56"/>
    <n v="-6416.16"/>
    <s v="Feb"/>
    <n v="2"/>
    <x v="56"/>
  </r>
  <r>
    <d v="2022-02-27T00:00:00"/>
    <x v="4"/>
    <s v="13088.26"/>
    <s v="13127.34"/>
    <s v="South"/>
    <x v="1"/>
    <x v="2"/>
    <x v="1"/>
    <x v="57"/>
    <n v="13127.34"/>
    <s v="Feb"/>
    <n v="2"/>
    <x v="57"/>
  </r>
  <r>
    <d v="2022-02-28T00:00:00"/>
    <x v="2"/>
    <s v="8742.75"/>
    <s v="9471.34"/>
    <s v="North"/>
    <x v="2"/>
    <x v="2"/>
    <x v="6"/>
    <x v="58"/>
    <n v="9471.34"/>
    <s v="Feb"/>
    <n v="2"/>
    <x v="58"/>
  </r>
  <r>
    <d v="2022-03-01T00:00:00"/>
    <x v="3"/>
    <s v="8643.45"/>
    <s v="8253.65"/>
    <s v="East"/>
    <x v="1"/>
    <x v="2"/>
    <x v="6"/>
    <x v="59"/>
    <n v="8253.65"/>
    <s v="Mar"/>
    <n v="3"/>
    <x v="59"/>
  </r>
  <r>
    <d v="2022-03-02T00:00:00"/>
    <x v="1"/>
    <s v="4974.28"/>
    <s v="4736.19"/>
    <s v="North"/>
    <x v="0"/>
    <x v="0"/>
    <x v="0"/>
    <x v="60"/>
    <n v="4736.1899999999996"/>
    <s v="Mar"/>
    <n v="3"/>
    <x v="60"/>
  </r>
  <r>
    <d v="2022-03-03T00:00:00"/>
    <x v="0"/>
    <s v="10337.81"/>
    <s v="10273.6"/>
    <s v="East"/>
    <x v="0"/>
    <x v="2"/>
    <x v="3"/>
    <x v="61"/>
    <n v="10273.6"/>
    <s v="Mar"/>
    <n v="3"/>
    <x v="61"/>
  </r>
  <r>
    <d v="2022-03-04T00:00:00"/>
    <x v="2"/>
    <s v="-5119.94"/>
    <s v="-5339.42"/>
    <s v="West"/>
    <x v="3"/>
    <x v="0"/>
    <x v="4"/>
    <x v="62"/>
    <n v="-5339.42"/>
    <s v="Mar"/>
    <n v="3"/>
    <x v="62"/>
  </r>
  <r>
    <d v="2022-03-05T00:00:00"/>
    <x v="2"/>
    <s v="6731.42"/>
    <s v="6875.84"/>
    <s v="East"/>
    <x v="0"/>
    <x v="2"/>
    <x v="7"/>
    <x v="63"/>
    <n v="6875.84"/>
    <s v="Mar"/>
    <n v="3"/>
    <x v="63"/>
  </r>
  <r>
    <d v="2022-03-06T00:00:00"/>
    <x v="3"/>
    <s v="9819.03"/>
    <s v="9966.13"/>
    <s v="South"/>
    <x v="1"/>
    <x v="2"/>
    <x v="3"/>
    <x v="64"/>
    <n v="9966.1299999999992"/>
    <s v="Mar"/>
    <n v="3"/>
    <x v="64"/>
  </r>
  <r>
    <d v="2022-03-07T00:00:00"/>
    <x v="3"/>
    <s v="-105.75"/>
    <s v="-106.47"/>
    <s v="North"/>
    <x v="3"/>
    <x v="2"/>
    <x v="0"/>
    <x v="65"/>
    <n v="-106.47"/>
    <s v="Mar"/>
    <n v="3"/>
    <x v="65"/>
  </r>
  <r>
    <d v="2022-03-08T00:00:00"/>
    <x v="0"/>
    <s v="4192.1"/>
    <s v="4155.32"/>
    <s v="North"/>
    <x v="1"/>
    <x v="1"/>
    <x v="2"/>
    <x v="66"/>
    <n v="4155.32"/>
    <s v="Mar"/>
    <n v="3"/>
    <x v="66"/>
  </r>
  <r>
    <d v="2022-03-09T00:00:00"/>
    <x v="3"/>
    <s v="12888.95"/>
    <s v="11574.24"/>
    <s v="North"/>
    <x v="2"/>
    <x v="2"/>
    <x v="5"/>
    <x v="67"/>
    <n v="11574.24"/>
    <s v="Mar"/>
    <n v="3"/>
    <x v="67"/>
  </r>
  <r>
    <d v="2022-03-10T00:00:00"/>
    <x v="2"/>
    <s v="5626.09"/>
    <s v="5794.84"/>
    <s v="South"/>
    <x v="3"/>
    <x v="2"/>
    <x v="7"/>
    <x v="68"/>
    <n v="5794.84"/>
    <s v="Mar"/>
    <n v="3"/>
    <x v="68"/>
  </r>
  <r>
    <d v="2022-03-11T00:00:00"/>
    <x v="4"/>
    <s v="14643.85"/>
    <s v="16584.93"/>
    <s v="South"/>
    <x v="1"/>
    <x v="2"/>
    <x v="2"/>
    <x v="69"/>
    <n v="16584.93"/>
    <s v="Mar"/>
    <n v="3"/>
    <x v="69"/>
  </r>
  <r>
    <d v="2022-03-12T00:00:00"/>
    <x v="2"/>
    <s v="20987.67"/>
    <s v="20270.74"/>
    <s v="West"/>
    <x v="1"/>
    <x v="2"/>
    <x v="2"/>
    <x v="70"/>
    <n v="20270.740000000002"/>
    <s v="Mar"/>
    <n v="3"/>
    <x v="70"/>
  </r>
  <r>
    <d v="2022-03-13T00:00:00"/>
    <x v="2"/>
    <s v="4946.09"/>
    <s v="4986.32"/>
    <s v="South"/>
    <x v="3"/>
    <x v="1"/>
    <x v="0"/>
    <x v="71"/>
    <n v="4986.32"/>
    <s v="Mar"/>
    <n v="3"/>
    <x v="71"/>
  </r>
  <r>
    <d v="2022-03-14T00:00:00"/>
    <x v="1"/>
    <s v="7293.01"/>
    <s v="6887.23"/>
    <s v="South"/>
    <x v="2"/>
    <x v="2"/>
    <x v="1"/>
    <x v="72"/>
    <n v="6887.23"/>
    <s v="Mar"/>
    <n v="3"/>
    <x v="72"/>
  </r>
  <r>
    <d v="2022-03-15T00:00:00"/>
    <x v="2"/>
    <s v="3742.54"/>
    <s v="3647.95"/>
    <s v="West"/>
    <x v="1"/>
    <x v="0"/>
    <x v="4"/>
    <x v="73"/>
    <n v="3647.95"/>
    <s v="Mar"/>
    <n v="3"/>
    <x v="73"/>
  </r>
  <r>
    <d v="2022-03-16T00:00:00"/>
    <x v="3"/>
    <s v="662.24"/>
    <s v="779.86"/>
    <s v="South"/>
    <x v="3"/>
    <x v="2"/>
    <x v="7"/>
    <x v="74"/>
    <n v="779.86"/>
    <s v="Mar"/>
    <n v="3"/>
    <x v="74"/>
  </r>
  <r>
    <d v="2022-03-17T00:00:00"/>
    <x v="2"/>
    <s v="7757.37"/>
    <s v="7317.6"/>
    <s v="West"/>
    <x v="3"/>
    <x v="2"/>
    <x v="2"/>
    <x v="75"/>
    <n v="7317.6"/>
    <s v="Mar"/>
    <n v="3"/>
    <x v="75"/>
  </r>
  <r>
    <d v="2022-03-18T00:00:00"/>
    <x v="4"/>
    <s v="-938.69"/>
    <s v="-942.14"/>
    <s v="North"/>
    <x v="0"/>
    <x v="0"/>
    <x v="7"/>
    <x v="76"/>
    <n v="-942.14"/>
    <s v="Mar"/>
    <n v="3"/>
    <x v="76"/>
  </r>
  <r>
    <d v="2022-03-19T00:00:00"/>
    <x v="0"/>
    <s v="-4575.77"/>
    <s v="-4018.72"/>
    <s v="South"/>
    <x v="1"/>
    <x v="0"/>
    <x v="0"/>
    <x v="77"/>
    <n v="-4018.72"/>
    <s v="Mar"/>
    <n v="3"/>
    <x v="77"/>
  </r>
  <r>
    <d v="2022-03-20T00:00:00"/>
    <x v="3"/>
    <s v="8857.27"/>
    <s v="9598.47"/>
    <s v="East"/>
    <x v="2"/>
    <x v="0"/>
    <x v="4"/>
    <x v="78"/>
    <n v="9598.4699999999993"/>
    <s v="Mar"/>
    <n v="3"/>
    <x v="78"/>
  </r>
  <r>
    <d v="2022-03-21T00:00:00"/>
    <x v="3"/>
    <s v="11857.81"/>
    <s v="12370.08"/>
    <s v="East"/>
    <x v="2"/>
    <x v="1"/>
    <x v="7"/>
    <x v="79"/>
    <n v="12370.08"/>
    <s v="Mar"/>
    <n v="3"/>
    <x v="79"/>
  </r>
  <r>
    <d v="2022-03-22T00:00:00"/>
    <x v="1"/>
    <s v="6675.49"/>
    <s v="6760.46"/>
    <s v="North"/>
    <x v="2"/>
    <x v="2"/>
    <x v="7"/>
    <x v="80"/>
    <n v="6760.46"/>
    <s v="Mar"/>
    <n v="3"/>
    <x v="80"/>
  </r>
  <r>
    <d v="2022-03-23T00:00:00"/>
    <x v="1"/>
    <s v="-4997.2"/>
    <s v="-4572.72"/>
    <s v="East"/>
    <x v="2"/>
    <x v="0"/>
    <x v="4"/>
    <x v="81"/>
    <n v="-4572.72"/>
    <s v="Mar"/>
    <n v="3"/>
    <x v="81"/>
  </r>
  <r>
    <d v="2022-03-24T00:00:00"/>
    <x v="0"/>
    <s v="-2102.21"/>
    <s v="-1857.96"/>
    <s v="North"/>
    <x v="1"/>
    <x v="0"/>
    <x v="0"/>
    <x v="82"/>
    <n v="-1857.96"/>
    <s v="Mar"/>
    <n v="3"/>
    <x v="82"/>
  </r>
  <r>
    <d v="2022-03-25T00:00:00"/>
    <x v="3"/>
    <s v="10762.42"/>
    <s v="10682.15"/>
    <s v="North"/>
    <x v="2"/>
    <x v="2"/>
    <x v="7"/>
    <x v="83"/>
    <n v="10682.15"/>
    <s v="Mar"/>
    <n v="3"/>
    <x v="83"/>
  </r>
  <r>
    <d v="2022-03-26T00:00:00"/>
    <x v="1"/>
    <s v="12991.76"/>
    <s v="11212.9"/>
    <s v="East"/>
    <x v="1"/>
    <x v="0"/>
    <x v="2"/>
    <x v="84"/>
    <n v="11212.9"/>
    <s v="Mar"/>
    <n v="3"/>
    <x v="84"/>
  </r>
  <r>
    <d v="2022-03-27T00:00:00"/>
    <x v="1"/>
    <s v="11736.59"/>
    <s v="11015.3"/>
    <s v="North"/>
    <x v="3"/>
    <x v="2"/>
    <x v="6"/>
    <x v="85"/>
    <n v="11015.3"/>
    <s v="Mar"/>
    <n v="3"/>
    <x v="85"/>
  </r>
  <r>
    <d v="2022-03-28T00:00:00"/>
    <x v="3"/>
    <s v="6424.47"/>
    <s v="6502.06"/>
    <s v="North"/>
    <x v="0"/>
    <x v="0"/>
    <x v="3"/>
    <x v="86"/>
    <n v="6502.06"/>
    <s v="Mar"/>
    <n v="3"/>
    <x v="86"/>
  </r>
  <r>
    <d v="2022-03-29T00:00:00"/>
    <x v="0"/>
    <s v="2288.72"/>
    <s v="2414.02"/>
    <s v="South"/>
    <x v="0"/>
    <x v="2"/>
    <x v="5"/>
    <x v="87"/>
    <n v="2414.02"/>
    <s v="Mar"/>
    <n v="3"/>
    <x v="87"/>
  </r>
  <r>
    <d v="2022-03-30T00:00:00"/>
    <x v="1"/>
    <s v="-4723.98"/>
    <s v="-4470.72"/>
    <s v="East"/>
    <x v="3"/>
    <x v="2"/>
    <x v="3"/>
    <x v="88"/>
    <n v="-4470.72"/>
    <s v="Mar"/>
    <n v="3"/>
    <x v="88"/>
  </r>
  <r>
    <d v="2022-03-31T00:00:00"/>
    <x v="0"/>
    <s v="14550.78"/>
    <s v="15339.65"/>
    <s v="East"/>
    <x v="0"/>
    <x v="1"/>
    <x v="2"/>
    <x v="89"/>
    <n v="15339.65"/>
    <s v="Mar"/>
    <n v="3"/>
    <x v="89"/>
  </r>
  <r>
    <d v="2022-04-01T00:00:00"/>
    <x v="0"/>
    <s v="5138.71"/>
    <s v="5108.47"/>
    <s v="West"/>
    <x v="2"/>
    <x v="2"/>
    <x v="3"/>
    <x v="90"/>
    <n v="5108.47"/>
    <s v="Apr"/>
    <n v="4"/>
    <x v="90"/>
  </r>
  <r>
    <d v="2022-04-02T00:00:00"/>
    <x v="2"/>
    <s v="10565.66"/>
    <s v="11629.73"/>
    <s v="North"/>
    <x v="1"/>
    <x v="2"/>
    <x v="4"/>
    <x v="91"/>
    <n v="11629.73"/>
    <s v="Apr"/>
    <n v="4"/>
    <x v="91"/>
  </r>
  <r>
    <d v="2022-04-03T00:00:00"/>
    <x v="4"/>
    <s v="6573.79"/>
    <s v="6628.09"/>
    <s v="North"/>
    <x v="1"/>
    <x v="1"/>
    <x v="6"/>
    <x v="92"/>
    <n v="6628.09"/>
    <s v="Apr"/>
    <n v="4"/>
    <x v="92"/>
  </r>
  <r>
    <d v="2022-04-04T00:00:00"/>
    <x v="0"/>
    <s v="10881.43"/>
    <s v="11403.98"/>
    <s v="East"/>
    <x v="0"/>
    <x v="1"/>
    <x v="6"/>
    <x v="93"/>
    <n v="11403.98"/>
    <s v="Apr"/>
    <n v="4"/>
    <x v="93"/>
  </r>
  <r>
    <d v="2022-04-05T00:00:00"/>
    <x v="1"/>
    <s v="11289.3"/>
    <s v="12270.68"/>
    <s v="West"/>
    <x v="2"/>
    <x v="1"/>
    <x v="0"/>
    <x v="94"/>
    <n v="12270.68"/>
    <s v="Apr"/>
    <n v="4"/>
    <x v="94"/>
  </r>
  <r>
    <d v="2022-04-06T00:00:00"/>
    <x v="2"/>
    <s v="8444.86"/>
    <s v="9156.65"/>
    <s v="East"/>
    <x v="1"/>
    <x v="0"/>
    <x v="1"/>
    <x v="95"/>
    <n v="9156.65"/>
    <s v="Apr"/>
    <n v="4"/>
    <x v="95"/>
  </r>
  <r>
    <d v="2022-04-07T00:00:00"/>
    <x v="3"/>
    <s v="9133.36"/>
    <s v="8329.44"/>
    <s v="West"/>
    <x v="3"/>
    <x v="1"/>
    <x v="2"/>
    <x v="96"/>
    <n v="8329.44"/>
    <s v="Apr"/>
    <n v="4"/>
    <x v="96"/>
  </r>
  <r>
    <d v="2022-04-08T00:00:00"/>
    <x v="4"/>
    <s v="-1045.96"/>
    <s v="-1214.59"/>
    <s v="South"/>
    <x v="1"/>
    <x v="0"/>
    <x v="6"/>
    <x v="97"/>
    <n v="-1214.5899999999999"/>
    <s v="Apr"/>
    <n v="4"/>
    <x v="97"/>
  </r>
  <r>
    <d v="2022-04-09T00:00:00"/>
    <x v="3"/>
    <s v="16434.82"/>
    <s v="15831.96"/>
    <s v="South"/>
    <x v="3"/>
    <x v="0"/>
    <x v="6"/>
    <x v="98"/>
    <n v="15831.96"/>
    <s v="Apr"/>
    <n v="4"/>
    <x v="98"/>
  </r>
  <r>
    <d v="2022-04-10T00:00:00"/>
    <x v="2"/>
    <s v="14548.42"/>
    <s v="15957.3"/>
    <s v="West"/>
    <x v="1"/>
    <x v="1"/>
    <x v="5"/>
    <x v="99"/>
    <n v="15957.3"/>
    <s v="Apr"/>
    <n v="4"/>
    <x v="99"/>
  </r>
  <r>
    <d v="2022-04-11T00:00:00"/>
    <x v="3"/>
    <s v="-5596.32"/>
    <s v="-4998.37"/>
    <s v="West"/>
    <x v="0"/>
    <x v="2"/>
    <x v="3"/>
    <x v="100"/>
    <n v="-4998.37"/>
    <s v="Apr"/>
    <n v="4"/>
    <x v="100"/>
  </r>
  <r>
    <d v="2022-04-12T00:00:00"/>
    <x v="1"/>
    <s v="18536.99"/>
    <s v="15907.76"/>
    <s v="South"/>
    <x v="0"/>
    <x v="1"/>
    <x v="1"/>
    <x v="101"/>
    <n v="15907.76"/>
    <s v="Apr"/>
    <n v="4"/>
    <x v="101"/>
  </r>
  <r>
    <d v="2022-04-13T00:00:00"/>
    <x v="2"/>
    <s v="3689.52"/>
    <s v="3119.29"/>
    <s v="East"/>
    <x v="2"/>
    <x v="1"/>
    <x v="7"/>
    <x v="102"/>
    <n v="3119.29"/>
    <s v="Apr"/>
    <n v="4"/>
    <x v="102"/>
  </r>
  <r>
    <d v="2022-04-14T00:00:00"/>
    <x v="1"/>
    <s v="13529.93"/>
    <s v="14125.74"/>
    <s v="West"/>
    <x v="2"/>
    <x v="2"/>
    <x v="0"/>
    <x v="103"/>
    <n v="14125.74"/>
    <s v="Apr"/>
    <n v="4"/>
    <x v="103"/>
  </r>
  <r>
    <d v="2022-04-15T00:00:00"/>
    <x v="2"/>
    <s v="-2277.74"/>
    <s v="-2567.92"/>
    <s v="South"/>
    <x v="0"/>
    <x v="1"/>
    <x v="3"/>
    <x v="104"/>
    <n v="-2567.92"/>
    <s v="Apr"/>
    <n v="4"/>
    <x v="104"/>
  </r>
  <r>
    <d v="2022-04-16T00:00:00"/>
    <x v="2"/>
    <s v="10807.88"/>
    <s v="11078.59"/>
    <s v="North"/>
    <x v="0"/>
    <x v="0"/>
    <x v="7"/>
    <x v="105"/>
    <n v="11078.59"/>
    <s v="Apr"/>
    <n v="4"/>
    <x v="105"/>
  </r>
  <r>
    <d v="2022-04-17T00:00:00"/>
    <x v="4"/>
    <s v="1721.07"/>
    <s v="1874.95"/>
    <s v="West"/>
    <x v="0"/>
    <x v="0"/>
    <x v="6"/>
    <x v="106"/>
    <n v="1874.95"/>
    <s v="Apr"/>
    <n v="4"/>
    <x v="106"/>
  </r>
  <r>
    <d v="2022-04-18T00:00:00"/>
    <x v="0"/>
    <s v="4777.41"/>
    <s v="4843.59"/>
    <s v="East"/>
    <x v="2"/>
    <x v="2"/>
    <x v="5"/>
    <x v="107"/>
    <n v="4843.59"/>
    <s v="Apr"/>
    <n v="4"/>
    <x v="107"/>
  </r>
  <r>
    <d v="2022-04-19T00:00:00"/>
    <x v="4"/>
    <s v="8507.54"/>
    <s v="9144.53"/>
    <s v="East"/>
    <x v="3"/>
    <x v="0"/>
    <x v="0"/>
    <x v="108"/>
    <n v="9144.5300000000007"/>
    <s v="Apr"/>
    <n v="4"/>
    <x v="108"/>
  </r>
  <r>
    <d v="2022-04-20T00:00:00"/>
    <x v="1"/>
    <s v="-519.0"/>
    <s v="-547.45"/>
    <s v="West"/>
    <x v="3"/>
    <x v="1"/>
    <x v="6"/>
    <x v="109"/>
    <n v="-547.45000000000005"/>
    <s v="Apr"/>
    <n v="4"/>
    <x v="109"/>
  </r>
  <r>
    <d v="2022-04-21T00:00:00"/>
    <x v="0"/>
    <s v="9501.51"/>
    <s v="8850.21"/>
    <s v="South"/>
    <x v="0"/>
    <x v="1"/>
    <x v="5"/>
    <x v="110"/>
    <n v="8850.2099999999991"/>
    <s v="Apr"/>
    <n v="4"/>
    <x v="110"/>
  </r>
  <r>
    <d v="2022-04-22T00:00:00"/>
    <x v="0"/>
    <s v="4710.26"/>
    <s v="4396.31"/>
    <s v="South"/>
    <x v="0"/>
    <x v="0"/>
    <x v="4"/>
    <x v="111"/>
    <n v="4396.3100000000004"/>
    <s v="Apr"/>
    <n v="4"/>
    <x v="111"/>
  </r>
  <r>
    <d v="2022-04-23T00:00:00"/>
    <x v="0"/>
    <s v="10665.95"/>
    <s v="11178.36"/>
    <s v="West"/>
    <x v="2"/>
    <x v="1"/>
    <x v="1"/>
    <x v="112"/>
    <n v="11178.36"/>
    <s v="Apr"/>
    <n v="4"/>
    <x v="112"/>
  </r>
  <r>
    <d v="2022-04-24T00:00:00"/>
    <x v="0"/>
    <s v="9718.87"/>
    <s v="9527.12"/>
    <s v="North"/>
    <x v="2"/>
    <x v="1"/>
    <x v="7"/>
    <x v="113"/>
    <n v="9527.1200000000008"/>
    <s v="Apr"/>
    <n v="4"/>
    <x v="113"/>
  </r>
  <r>
    <d v="2022-04-25T00:00:00"/>
    <x v="4"/>
    <s v="-1035.2"/>
    <s v="-1057.07"/>
    <s v="North"/>
    <x v="1"/>
    <x v="1"/>
    <x v="3"/>
    <x v="114"/>
    <n v="-1057.07"/>
    <s v="Apr"/>
    <n v="4"/>
    <x v="114"/>
  </r>
  <r>
    <d v="2022-04-26T00:00:00"/>
    <x v="2"/>
    <s v="7639.89"/>
    <s v="7534.96"/>
    <s v="South"/>
    <x v="3"/>
    <x v="0"/>
    <x v="1"/>
    <x v="115"/>
    <n v="7534.96"/>
    <s v="Apr"/>
    <n v="4"/>
    <x v="115"/>
  </r>
  <r>
    <d v="2022-04-27T00:00:00"/>
    <x v="3"/>
    <s v="-1200.16"/>
    <s v="-1307.49"/>
    <s v="East"/>
    <x v="1"/>
    <x v="0"/>
    <x v="2"/>
    <x v="116"/>
    <n v="-1307.49"/>
    <s v="Apr"/>
    <n v="4"/>
    <x v="116"/>
  </r>
  <r>
    <d v="2022-04-28T00:00:00"/>
    <x v="0"/>
    <s v="5506.97"/>
    <s v="5617.36"/>
    <s v="North"/>
    <x v="2"/>
    <x v="2"/>
    <x v="1"/>
    <x v="117"/>
    <n v="5617.36"/>
    <s v="Apr"/>
    <n v="4"/>
    <x v="117"/>
  </r>
  <r>
    <d v="2022-04-29T00:00:00"/>
    <x v="3"/>
    <s v="11249.05"/>
    <s v="12910.95"/>
    <s v="East"/>
    <x v="0"/>
    <x v="1"/>
    <x v="1"/>
    <x v="118"/>
    <n v="12910.95"/>
    <s v="Apr"/>
    <n v="4"/>
    <x v="118"/>
  </r>
  <r>
    <d v="2022-04-30T00:00:00"/>
    <x v="2"/>
    <s v="7127.54"/>
    <s v="7008.48"/>
    <s v="South"/>
    <x v="0"/>
    <x v="0"/>
    <x v="5"/>
    <x v="119"/>
    <n v="7008.48"/>
    <s v="Apr"/>
    <n v="4"/>
    <x v="119"/>
  </r>
  <r>
    <d v="2022-05-01T00:00:00"/>
    <x v="1"/>
    <s v="2095.07"/>
    <s v="2163.33"/>
    <s v="North"/>
    <x v="1"/>
    <x v="0"/>
    <x v="6"/>
    <x v="120"/>
    <n v="2163.33"/>
    <s v="May"/>
    <n v="5"/>
    <x v="120"/>
  </r>
  <r>
    <d v="2022-05-02T00:00:00"/>
    <x v="4"/>
    <s v="16741.91"/>
    <s v="17197.08"/>
    <s v="West"/>
    <x v="0"/>
    <x v="1"/>
    <x v="0"/>
    <x v="121"/>
    <n v="17197.080000000002"/>
    <s v="May"/>
    <n v="5"/>
    <x v="121"/>
  </r>
  <r>
    <d v="2022-05-03T00:00:00"/>
    <x v="4"/>
    <s v="35.36"/>
    <s v="31.33"/>
    <s v="West"/>
    <x v="2"/>
    <x v="1"/>
    <x v="2"/>
    <x v="122"/>
    <n v="31.33"/>
    <s v="May"/>
    <n v="5"/>
    <x v="122"/>
  </r>
  <r>
    <d v="2022-05-04T00:00:00"/>
    <x v="0"/>
    <s v="3653.57"/>
    <s v="3183.69"/>
    <s v="South"/>
    <x v="1"/>
    <x v="0"/>
    <x v="6"/>
    <x v="123"/>
    <n v="3183.69"/>
    <s v="May"/>
    <n v="5"/>
    <x v="123"/>
  </r>
  <r>
    <d v="2022-05-05T00:00:00"/>
    <x v="0"/>
    <s v="7075.3"/>
    <s v="6737.4"/>
    <s v="West"/>
    <x v="1"/>
    <x v="1"/>
    <x v="6"/>
    <x v="124"/>
    <n v="6737.4"/>
    <s v="May"/>
    <n v="5"/>
    <x v="124"/>
  </r>
  <r>
    <d v="2022-05-06T00:00:00"/>
    <x v="2"/>
    <s v="1566.39"/>
    <s v="1411.74"/>
    <s v="West"/>
    <x v="3"/>
    <x v="2"/>
    <x v="4"/>
    <x v="125"/>
    <n v="1411.74"/>
    <s v="May"/>
    <n v="5"/>
    <x v="125"/>
  </r>
  <r>
    <d v="2022-05-07T00:00:00"/>
    <x v="0"/>
    <s v="14930.39"/>
    <s v="15154.34"/>
    <s v="North"/>
    <x v="2"/>
    <x v="0"/>
    <x v="6"/>
    <x v="126"/>
    <n v="15154.34"/>
    <s v="May"/>
    <n v="5"/>
    <x v="126"/>
  </r>
  <r>
    <d v="2022-05-08T00:00:00"/>
    <x v="1"/>
    <s v="2618.97"/>
    <s v="2767.12"/>
    <s v="South"/>
    <x v="2"/>
    <x v="1"/>
    <x v="7"/>
    <x v="127"/>
    <n v="2767.12"/>
    <s v="May"/>
    <n v="5"/>
    <x v="127"/>
  </r>
  <r>
    <d v="2022-05-09T00:00:00"/>
    <x v="1"/>
    <s v="4372.83"/>
    <s v="4547.19"/>
    <s v="South"/>
    <x v="1"/>
    <x v="2"/>
    <x v="5"/>
    <x v="128"/>
    <n v="4547.1899999999996"/>
    <s v="May"/>
    <n v="5"/>
    <x v="128"/>
  </r>
  <r>
    <d v="2022-05-10T00:00:00"/>
    <x v="3"/>
    <s v="11656.49"/>
    <s v="11882.58"/>
    <s v="South"/>
    <x v="3"/>
    <x v="1"/>
    <x v="3"/>
    <x v="129"/>
    <n v="11882.58"/>
    <s v="May"/>
    <n v="5"/>
    <x v="129"/>
  </r>
  <r>
    <d v="2022-05-11T00:00:00"/>
    <x v="1"/>
    <s v="17821.18"/>
    <s v="20232.19"/>
    <s v="North"/>
    <x v="0"/>
    <x v="2"/>
    <x v="6"/>
    <x v="130"/>
    <n v="20232.189999999999"/>
    <s v="May"/>
    <n v="5"/>
    <x v="130"/>
  </r>
  <r>
    <d v="2022-05-12T00:00:00"/>
    <x v="2"/>
    <s v="15627.31"/>
    <s v="13667.5"/>
    <s v="East"/>
    <x v="3"/>
    <x v="2"/>
    <x v="0"/>
    <x v="131"/>
    <n v="13667.5"/>
    <s v="May"/>
    <n v="5"/>
    <x v="131"/>
  </r>
  <r>
    <d v="2022-05-13T00:00:00"/>
    <x v="3"/>
    <s v="4441.72"/>
    <s v="4391.32"/>
    <s v="South"/>
    <x v="0"/>
    <x v="0"/>
    <x v="7"/>
    <x v="132"/>
    <n v="4391.32"/>
    <s v="May"/>
    <n v="5"/>
    <x v="132"/>
  </r>
  <r>
    <d v="2022-05-14T00:00:00"/>
    <x v="3"/>
    <s v="11596.22"/>
    <s v="12983.19"/>
    <s v="South"/>
    <x v="0"/>
    <x v="1"/>
    <x v="3"/>
    <x v="133"/>
    <n v="12983.19"/>
    <s v="May"/>
    <n v="5"/>
    <x v="133"/>
  </r>
  <r>
    <d v="2022-05-15T00:00:00"/>
    <x v="1"/>
    <s v="14687.83"/>
    <s v="12860.04"/>
    <s v="East"/>
    <x v="2"/>
    <x v="1"/>
    <x v="4"/>
    <x v="134"/>
    <n v="12860.04"/>
    <s v="May"/>
    <n v="5"/>
    <x v="134"/>
  </r>
  <r>
    <d v="2022-05-16T00:00:00"/>
    <x v="0"/>
    <s v="13910.23"/>
    <s v="14507.7"/>
    <s v="North"/>
    <x v="2"/>
    <x v="1"/>
    <x v="2"/>
    <x v="135"/>
    <n v="14507.7"/>
    <s v="May"/>
    <n v="5"/>
    <x v="135"/>
  </r>
  <r>
    <d v="2022-05-17T00:00:00"/>
    <x v="1"/>
    <s v="1292.56"/>
    <s v="1288.14"/>
    <s v="North"/>
    <x v="1"/>
    <x v="2"/>
    <x v="2"/>
    <x v="136"/>
    <n v="1288.1400000000001"/>
    <s v="May"/>
    <n v="5"/>
    <x v="136"/>
  </r>
  <r>
    <d v="2022-05-18T00:00:00"/>
    <x v="2"/>
    <s v="-9009.44"/>
    <s v="-9144.1"/>
    <s v="East"/>
    <x v="0"/>
    <x v="1"/>
    <x v="0"/>
    <x v="137"/>
    <n v="-9144.1"/>
    <s v="May"/>
    <n v="5"/>
    <x v="137"/>
  </r>
  <r>
    <d v="2022-05-19T00:00:00"/>
    <x v="4"/>
    <s v="-2319.18"/>
    <s v="-2102.17"/>
    <s v="North"/>
    <x v="0"/>
    <x v="1"/>
    <x v="5"/>
    <x v="138"/>
    <n v="-2102.17"/>
    <s v="May"/>
    <n v="5"/>
    <x v="138"/>
  </r>
  <r>
    <d v="2022-05-20T00:00:00"/>
    <x v="4"/>
    <s v="7333.45"/>
    <s v="7833.47"/>
    <s v="West"/>
    <x v="2"/>
    <x v="1"/>
    <x v="1"/>
    <x v="139"/>
    <n v="7833.47"/>
    <s v="May"/>
    <n v="5"/>
    <x v="139"/>
  </r>
  <r>
    <d v="2022-05-21T00:00:00"/>
    <x v="4"/>
    <s v="10659.52"/>
    <s v="10751.54"/>
    <s v="West"/>
    <x v="1"/>
    <x v="2"/>
    <x v="7"/>
    <x v="140"/>
    <n v="10751.54"/>
    <s v="May"/>
    <n v="5"/>
    <x v="140"/>
  </r>
  <r>
    <d v="2022-05-22T00:00:00"/>
    <x v="1"/>
    <s v="11437.51"/>
    <s v="10246.86"/>
    <s v="West"/>
    <x v="0"/>
    <x v="0"/>
    <x v="1"/>
    <x v="141"/>
    <n v="10246.86"/>
    <s v="May"/>
    <n v="5"/>
    <x v="141"/>
  </r>
  <r>
    <d v="2022-05-23T00:00:00"/>
    <x v="3"/>
    <s v="11425.25"/>
    <s v="11439.82"/>
    <s v="South"/>
    <x v="2"/>
    <x v="1"/>
    <x v="5"/>
    <x v="142"/>
    <n v="11439.82"/>
    <s v="May"/>
    <n v="5"/>
    <x v="142"/>
  </r>
  <r>
    <d v="2022-05-24T00:00:00"/>
    <x v="0"/>
    <s v="12488.21"/>
    <s v="12179.67"/>
    <s v="South"/>
    <x v="1"/>
    <x v="2"/>
    <x v="0"/>
    <x v="143"/>
    <n v="12179.67"/>
    <s v="May"/>
    <n v="5"/>
    <x v="143"/>
  </r>
  <r>
    <d v="2022-05-25T00:00:00"/>
    <x v="4"/>
    <s v="-639.8"/>
    <s v="-573.18"/>
    <s v="West"/>
    <x v="3"/>
    <x v="1"/>
    <x v="5"/>
    <x v="144"/>
    <n v="-573.17999999999995"/>
    <s v="May"/>
    <n v="5"/>
    <x v="144"/>
  </r>
  <r>
    <d v="2022-05-26T00:00:00"/>
    <x v="4"/>
    <s v="13241.55"/>
    <s v="13759.8"/>
    <s v="East"/>
    <x v="2"/>
    <x v="0"/>
    <x v="6"/>
    <x v="145"/>
    <n v="13759.8"/>
    <s v="May"/>
    <n v="5"/>
    <x v="145"/>
  </r>
  <r>
    <d v="2022-05-27T00:00:00"/>
    <x v="4"/>
    <s v="-4004.11"/>
    <s v="-3998.06"/>
    <s v="South"/>
    <x v="2"/>
    <x v="2"/>
    <x v="2"/>
    <x v="146"/>
    <n v="-3998.06"/>
    <s v="May"/>
    <n v="5"/>
    <x v="146"/>
  </r>
  <r>
    <d v="2022-05-28T00:00:00"/>
    <x v="1"/>
    <s v="-3722.59"/>
    <s v="-3968.74"/>
    <s v="South"/>
    <x v="3"/>
    <x v="1"/>
    <x v="5"/>
    <x v="147"/>
    <n v="-3968.74"/>
    <s v="May"/>
    <n v="5"/>
    <x v="147"/>
  </r>
  <r>
    <d v="2022-05-29T00:00:00"/>
    <x v="3"/>
    <s v="5463.64"/>
    <s v="5257.66"/>
    <s v="North"/>
    <x v="2"/>
    <x v="2"/>
    <x v="7"/>
    <x v="148"/>
    <n v="5257.66"/>
    <s v="May"/>
    <n v="5"/>
    <x v="148"/>
  </r>
  <r>
    <d v="2022-05-30T00:00:00"/>
    <x v="0"/>
    <s v="7044.84"/>
    <s v="5704.4"/>
    <s v="South"/>
    <x v="0"/>
    <x v="1"/>
    <x v="4"/>
    <x v="149"/>
    <n v="5704.4"/>
    <s v="May"/>
    <n v="5"/>
    <x v="149"/>
  </r>
  <r>
    <d v="2022-05-31T00:00:00"/>
    <x v="4"/>
    <s v="5376.98"/>
    <s v="5196.37"/>
    <s v="South"/>
    <x v="2"/>
    <x v="1"/>
    <x v="4"/>
    <x v="150"/>
    <n v="5196.37"/>
    <s v="May"/>
    <n v="5"/>
    <x v="150"/>
  </r>
  <r>
    <d v="2022-06-01T00:00:00"/>
    <x v="3"/>
    <s v="1197.15"/>
    <s v="1297.91"/>
    <s v="East"/>
    <x v="3"/>
    <x v="1"/>
    <x v="0"/>
    <x v="151"/>
    <n v="1297.9100000000001"/>
    <s v="Jun"/>
    <n v="6"/>
    <x v="151"/>
  </r>
  <r>
    <d v="2022-06-02T00:00:00"/>
    <x v="1"/>
    <s v="-2227.8"/>
    <s v="-2209.19"/>
    <s v="East"/>
    <x v="2"/>
    <x v="2"/>
    <x v="5"/>
    <x v="152"/>
    <n v="-2209.19"/>
    <s v="Jun"/>
    <n v="6"/>
    <x v="152"/>
  </r>
  <r>
    <d v="2022-06-03T00:00:00"/>
    <x v="4"/>
    <s v="10538.15"/>
    <s v="9429.34"/>
    <s v="West"/>
    <x v="3"/>
    <x v="2"/>
    <x v="0"/>
    <x v="153"/>
    <n v="9429.34"/>
    <s v="Jun"/>
    <n v="6"/>
    <x v="153"/>
  </r>
  <r>
    <d v="2022-06-04T00:00:00"/>
    <x v="1"/>
    <s v="15290.49"/>
    <s v="15730.99"/>
    <s v="South"/>
    <x v="0"/>
    <x v="2"/>
    <x v="2"/>
    <x v="154"/>
    <n v="15730.99"/>
    <s v="Jun"/>
    <n v="6"/>
    <x v="154"/>
  </r>
  <r>
    <d v="2022-06-05T00:00:00"/>
    <x v="4"/>
    <s v="-5069.93"/>
    <s v="-5252.59"/>
    <s v="South"/>
    <x v="0"/>
    <x v="2"/>
    <x v="4"/>
    <x v="155"/>
    <n v="-5252.59"/>
    <s v="Jun"/>
    <n v="6"/>
    <x v="155"/>
  </r>
  <r>
    <d v="2022-06-06T00:00:00"/>
    <x v="4"/>
    <s v="-2696.15"/>
    <s v="-2539.36"/>
    <s v="North"/>
    <x v="2"/>
    <x v="0"/>
    <x v="7"/>
    <x v="156"/>
    <n v="-2539.36"/>
    <s v="Jun"/>
    <n v="6"/>
    <x v="156"/>
  </r>
  <r>
    <d v="2022-06-07T00:00:00"/>
    <x v="1"/>
    <s v="11595.6"/>
    <s v="10986.05"/>
    <s v="South"/>
    <x v="2"/>
    <x v="2"/>
    <x v="7"/>
    <x v="157"/>
    <n v="10986.05"/>
    <s v="Jun"/>
    <n v="6"/>
    <x v="157"/>
  </r>
  <r>
    <d v="2022-06-08T00:00:00"/>
    <x v="0"/>
    <s v="5175.74"/>
    <s v="4953.44"/>
    <s v="North"/>
    <x v="0"/>
    <x v="0"/>
    <x v="2"/>
    <x v="158"/>
    <n v="4953.4399999999996"/>
    <s v="Jun"/>
    <n v="6"/>
    <x v="158"/>
  </r>
  <r>
    <d v="2022-06-09T00:00:00"/>
    <x v="4"/>
    <s v="9900.74"/>
    <s v="10237.09"/>
    <s v="South"/>
    <x v="2"/>
    <x v="1"/>
    <x v="2"/>
    <x v="159"/>
    <n v="10237.09"/>
    <s v="Jun"/>
    <n v="6"/>
    <x v="159"/>
  </r>
  <r>
    <d v="2022-06-10T00:00:00"/>
    <x v="4"/>
    <s v="4452.8"/>
    <s v="4257.54"/>
    <s v="West"/>
    <x v="2"/>
    <x v="0"/>
    <x v="0"/>
    <x v="160"/>
    <n v="4257.54"/>
    <s v="Jun"/>
    <n v="6"/>
    <x v="160"/>
  </r>
  <r>
    <d v="2022-06-11T00:00:00"/>
    <x v="1"/>
    <s v="373.69"/>
    <s v="396.56"/>
    <s v="South"/>
    <x v="3"/>
    <x v="2"/>
    <x v="4"/>
    <x v="161"/>
    <n v="396.56"/>
    <s v="Jun"/>
    <n v="6"/>
    <x v="161"/>
  </r>
  <r>
    <d v="2022-06-12T00:00:00"/>
    <x v="2"/>
    <s v="11946.25"/>
    <s v="10368.33"/>
    <s v="South"/>
    <x v="2"/>
    <x v="2"/>
    <x v="2"/>
    <x v="162"/>
    <n v="10368.33"/>
    <s v="Jun"/>
    <n v="6"/>
    <x v="162"/>
  </r>
  <r>
    <d v="2022-06-13T00:00:00"/>
    <x v="2"/>
    <s v="14613.14"/>
    <s v="15380.21"/>
    <s v="North"/>
    <x v="2"/>
    <x v="2"/>
    <x v="7"/>
    <x v="163"/>
    <n v="15380.21"/>
    <s v="Jun"/>
    <n v="6"/>
    <x v="163"/>
  </r>
  <r>
    <d v="2022-06-14T00:00:00"/>
    <x v="4"/>
    <s v="-4303.03"/>
    <s v="-3823.48"/>
    <s v="East"/>
    <x v="2"/>
    <x v="1"/>
    <x v="0"/>
    <x v="164"/>
    <n v="-3823.48"/>
    <s v="Jun"/>
    <n v="6"/>
    <x v="164"/>
  </r>
  <r>
    <d v="2022-06-15T00:00:00"/>
    <x v="4"/>
    <s v="5444.86"/>
    <s v="5720.69"/>
    <s v="West"/>
    <x v="1"/>
    <x v="2"/>
    <x v="3"/>
    <x v="165"/>
    <n v="5720.69"/>
    <s v="Jun"/>
    <n v="6"/>
    <x v="165"/>
  </r>
  <r>
    <d v="2022-06-16T00:00:00"/>
    <x v="2"/>
    <s v="23814.15"/>
    <s v="24730.88"/>
    <s v="North"/>
    <x v="1"/>
    <x v="1"/>
    <x v="0"/>
    <x v="166"/>
    <n v="24730.880000000001"/>
    <s v="Jun"/>
    <n v="6"/>
    <x v="166"/>
  </r>
  <r>
    <d v="2022-06-17T00:00:00"/>
    <x v="0"/>
    <s v="6207.36"/>
    <s v="6088.46"/>
    <s v="West"/>
    <x v="0"/>
    <x v="0"/>
    <x v="4"/>
    <x v="167"/>
    <n v="6088.46"/>
    <s v="Jun"/>
    <n v="6"/>
    <x v="167"/>
  </r>
  <r>
    <d v="2022-06-18T00:00:00"/>
    <x v="2"/>
    <s v="9350.24"/>
    <s v="8932.67"/>
    <s v="South"/>
    <x v="3"/>
    <x v="1"/>
    <x v="2"/>
    <x v="168"/>
    <n v="8932.67"/>
    <s v="Jun"/>
    <n v="6"/>
    <x v="168"/>
  </r>
  <r>
    <d v="2022-06-19T00:00:00"/>
    <x v="2"/>
    <s v="4373.37"/>
    <s v="3949.06"/>
    <s v="North"/>
    <x v="0"/>
    <x v="2"/>
    <x v="1"/>
    <x v="169"/>
    <n v="3949.06"/>
    <s v="Jun"/>
    <n v="6"/>
    <x v="169"/>
  </r>
  <r>
    <d v="2022-06-20T00:00:00"/>
    <x v="4"/>
    <s v="8194.18"/>
    <s v="8545.25"/>
    <s v="East"/>
    <x v="3"/>
    <x v="0"/>
    <x v="7"/>
    <x v="170"/>
    <n v="8545.25"/>
    <s v="Jun"/>
    <n v="6"/>
    <x v="170"/>
  </r>
  <r>
    <d v="2022-06-21T00:00:00"/>
    <x v="4"/>
    <s v="3094.46"/>
    <s v="2903.03"/>
    <s v="South"/>
    <x v="0"/>
    <x v="2"/>
    <x v="0"/>
    <x v="171"/>
    <n v="2903.03"/>
    <s v="Jun"/>
    <n v="6"/>
    <x v="171"/>
  </r>
  <r>
    <d v="2022-06-22T00:00:00"/>
    <x v="0"/>
    <s v="14274.71"/>
    <s v="14591.57"/>
    <s v="East"/>
    <x v="0"/>
    <x v="2"/>
    <x v="4"/>
    <x v="172"/>
    <n v="14591.57"/>
    <s v="Jun"/>
    <n v="6"/>
    <x v="172"/>
  </r>
  <r>
    <d v="2022-06-23T00:00:00"/>
    <x v="0"/>
    <s v="7919.09"/>
    <s v="7492.11"/>
    <s v="East"/>
    <x v="1"/>
    <x v="1"/>
    <x v="6"/>
    <x v="173"/>
    <n v="7492.11"/>
    <s v="Jun"/>
    <n v="6"/>
    <x v="173"/>
  </r>
  <r>
    <d v="2022-06-24T00:00:00"/>
    <x v="1"/>
    <s v="4925.54"/>
    <s v="5131.29"/>
    <s v="South"/>
    <x v="2"/>
    <x v="1"/>
    <x v="4"/>
    <x v="174"/>
    <n v="5131.29"/>
    <s v="Jun"/>
    <n v="6"/>
    <x v="174"/>
  </r>
  <r>
    <d v="2022-06-25T00:00:00"/>
    <x v="1"/>
    <s v="-2328.28"/>
    <s v="-2343.73"/>
    <s v="West"/>
    <x v="3"/>
    <x v="0"/>
    <x v="7"/>
    <x v="175"/>
    <n v="-2343.73"/>
    <s v="Jun"/>
    <n v="6"/>
    <x v="175"/>
  </r>
  <r>
    <d v="2022-06-26T00:00:00"/>
    <x v="0"/>
    <s v="7360.14"/>
    <s v="7365.34"/>
    <s v="East"/>
    <x v="2"/>
    <x v="1"/>
    <x v="3"/>
    <x v="176"/>
    <n v="7365.34"/>
    <s v="Jun"/>
    <n v="6"/>
    <x v="176"/>
  </r>
  <r>
    <d v="2022-06-27T00:00:00"/>
    <x v="2"/>
    <s v="-5017.15"/>
    <s v="-4603.48"/>
    <s v="West"/>
    <x v="2"/>
    <x v="1"/>
    <x v="7"/>
    <x v="177"/>
    <n v="-4603.4799999999996"/>
    <s v="Jun"/>
    <n v="6"/>
    <x v="177"/>
  </r>
  <r>
    <d v="2022-06-28T00:00:00"/>
    <x v="4"/>
    <s v="3358.77"/>
    <s v="3450.58"/>
    <s v="West"/>
    <x v="0"/>
    <x v="1"/>
    <x v="5"/>
    <x v="178"/>
    <n v="3450.58"/>
    <s v="Jun"/>
    <n v="6"/>
    <x v="178"/>
  </r>
  <r>
    <d v="2022-06-29T00:00:00"/>
    <x v="2"/>
    <s v="-2111.19"/>
    <s v="-1851.38"/>
    <s v="North"/>
    <x v="1"/>
    <x v="2"/>
    <x v="5"/>
    <x v="179"/>
    <n v="-1851.38"/>
    <s v="Jun"/>
    <n v="6"/>
    <x v="179"/>
  </r>
  <r>
    <d v="2022-06-30T00:00:00"/>
    <x v="4"/>
    <s v="10339.64"/>
    <s v="10665.22"/>
    <s v="East"/>
    <x v="1"/>
    <x v="2"/>
    <x v="7"/>
    <x v="180"/>
    <n v="10665.22"/>
    <s v="Jun"/>
    <n v="6"/>
    <x v="180"/>
  </r>
  <r>
    <d v="2022-07-01T00:00:00"/>
    <x v="0"/>
    <s v="8267.88"/>
    <s v="7057.68"/>
    <s v="East"/>
    <x v="2"/>
    <x v="1"/>
    <x v="2"/>
    <x v="181"/>
    <n v="7057.68"/>
    <s v="Jul"/>
    <n v="7"/>
    <x v="181"/>
  </r>
  <r>
    <d v="2022-07-02T00:00:00"/>
    <x v="4"/>
    <s v="-6502.01"/>
    <s v="-6162.55"/>
    <s v="North"/>
    <x v="2"/>
    <x v="2"/>
    <x v="4"/>
    <x v="182"/>
    <n v="-6162.55"/>
    <s v="Jul"/>
    <n v="7"/>
    <x v="182"/>
  </r>
  <r>
    <d v="2022-07-03T00:00:00"/>
    <x v="3"/>
    <s v="-1148.58"/>
    <s v="-1075.01"/>
    <s v="West"/>
    <x v="1"/>
    <x v="1"/>
    <x v="7"/>
    <x v="183"/>
    <n v="-1075.01"/>
    <s v="Jul"/>
    <n v="7"/>
    <x v="183"/>
  </r>
  <r>
    <d v="2022-07-04T00:00:00"/>
    <x v="0"/>
    <s v="13547.62"/>
    <s v="12798.51"/>
    <s v="North"/>
    <x v="3"/>
    <x v="1"/>
    <x v="7"/>
    <x v="184"/>
    <n v="12798.51"/>
    <s v="Jul"/>
    <n v="7"/>
    <x v="184"/>
  </r>
  <r>
    <d v="2022-07-05T00:00:00"/>
    <x v="4"/>
    <s v="11400.04"/>
    <s v="12110.68"/>
    <s v="North"/>
    <x v="1"/>
    <x v="2"/>
    <x v="1"/>
    <x v="185"/>
    <n v="12110.68"/>
    <s v="Jul"/>
    <n v="7"/>
    <x v="185"/>
  </r>
  <r>
    <d v="2022-07-06T00:00:00"/>
    <x v="1"/>
    <s v="13420.03"/>
    <s v="12670.74"/>
    <s v="South"/>
    <x v="1"/>
    <x v="1"/>
    <x v="5"/>
    <x v="186"/>
    <n v="12670.74"/>
    <s v="Jul"/>
    <n v="7"/>
    <x v="186"/>
  </r>
  <r>
    <d v="2022-07-07T00:00:00"/>
    <x v="1"/>
    <s v="5813.5"/>
    <s v="5873.14"/>
    <s v="East"/>
    <x v="0"/>
    <x v="0"/>
    <x v="6"/>
    <x v="187"/>
    <n v="5873.14"/>
    <s v="Jul"/>
    <n v="7"/>
    <x v="187"/>
  </r>
  <r>
    <d v="2022-07-08T00:00:00"/>
    <x v="2"/>
    <s v="5246.92"/>
    <s v="4985.64"/>
    <s v="North"/>
    <x v="2"/>
    <x v="0"/>
    <x v="2"/>
    <x v="188"/>
    <n v="4985.6400000000003"/>
    <s v="Jul"/>
    <n v="7"/>
    <x v="188"/>
  </r>
  <r>
    <d v="2022-07-09T00:00:00"/>
    <x v="2"/>
    <s v="14359.36"/>
    <s v="15152.15"/>
    <s v="East"/>
    <x v="3"/>
    <x v="1"/>
    <x v="7"/>
    <x v="189"/>
    <n v="15152.15"/>
    <s v="Jul"/>
    <n v="7"/>
    <x v="189"/>
  </r>
  <r>
    <d v="2022-07-10T00:00:00"/>
    <x v="2"/>
    <s v="12024.27"/>
    <s v="12900.34"/>
    <s v="South"/>
    <x v="1"/>
    <x v="0"/>
    <x v="4"/>
    <x v="190"/>
    <n v="12900.34"/>
    <s v="Jul"/>
    <n v="7"/>
    <x v="190"/>
  </r>
  <r>
    <d v="2022-07-11T00:00:00"/>
    <x v="4"/>
    <s v="7539.56"/>
    <s v="6814.3"/>
    <s v="South"/>
    <x v="3"/>
    <x v="2"/>
    <x v="4"/>
    <x v="191"/>
    <n v="6814.3"/>
    <s v="Jul"/>
    <n v="7"/>
    <x v="191"/>
  </r>
  <r>
    <d v="2022-07-12T00:00:00"/>
    <x v="0"/>
    <s v="13797.54"/>
    <s v="11908.3"/>
    <s v="East"/>
    <x v="0"/>
    <x v="0"/>
    <x v="0"/>
    <x v="192"/>
    <n v="11908.3"/>
    <s v="Jul"/>
    <n v="7"/>
    <x v="192"/>
  </r>
  <r>
    <d v="2022-07-13T00:00:00"/>
    <x v="3"/>
    <s v="244.78"/>
    <s v="265.14"/>
    <s v="South"/>
    <x v="1"/>
    <x v="2"/>
    <x v="5"/>
    <x v="193"/>
    <n v="265.14"/>
    <s v="Jul"/>
    <n v="7"/>
    <x v="193"/>
  </r>
  <r>
    <d v="2022-07-14T00:00:00"/>
    <x v="4"/>
    <s v="7453.89"/>
    <s v="7906.48"/>
    <s v="West"/>
    <x v="3"/>
    <x v="0"/>
    <x v="3"/>
    <x v="194"/>
    <n v="7906.48"/>
    <s v="Jul"/>
    <n v="7"/>
    <x v="194"/>
  </r>
  <r>
    <d v="2022-07-15T00:00:00"/>
    <x v="1"/>
    <s v="12047.4"/>
    <s v="10639.37"/>
    <s v="South"/>
    <x v="1"/>
    <x v="1"/>
    <x v="5"/>
    <x v="195"/>
    <n v="10639.37"/>
    <s v="Jul"/>
    <n v="7"/>
    <x v="195"/>
  </r>
  <r>
    <d v="2022-07-16T00:00:00"/>
    <x v="2"/>
    <s v="4722.52"/>
    <s v="4381.35"/>
    <s v="West"/>
    <x v="1"/>
    <x v="2"/>
    <x v="3"/>
    <x v="196"/>
    <n v="4381.3500000000004"/>
    <s v="Jul"/>
    <n v="7"/>
    <x v="196"/>
  </r>
  <r>
    <d v="2022-07-17T00:00:00"/>
    <x v="4"/>
    <s v="11051.74"/>
    <s v="11540.04"/>
    <s v="North"/>
    <x v="3"/>
    <x v="2"/>
    <x v="2"/>
    <x v="197"/>
    <n v="11540.04"/>
    <s v="Jul"/>
    <n v="7"/>
    <x v="197"/>
  </r>
  <r>
    <d v="2022-07-18T00:00:00"/>
    <x v="2"/>
    <s v="11045.56"/>
    <s v="12044.95"/>
    <s v="South"/>
    <x v="2"/>
    <x v="2"/>
    <x v="6"/>
    <x v="198"/>
    <n v="12044.95"/>
    <s v="Jul"/>
    <n v="7"/>
    <x v="198"/>
  </r>
  <r>
    <d v="2022-07-19T00:00:00"/>
    <x v="3"/>
    <s v="7723.88"/>
    <s v="7439.3"/>
    <s v="North"/>
    <x v="1"/>
    <x v="0"/>
    <x v="7"/>
    <x v="199"/>
    <n v="7439.3"/>
    <s v="Jul"/>
    <n v="7"/>
    <x v="199"/>
  </r>
  <r>
    <d v="2022-07-20T00:00:00"/>
    <x v="4"/>
    <s v="18607.43"/>
    <s v="19350.77"/>
    <s v="West"/>
    <x v="0"/>
    <x v="1"/>
    <x v="6"/>
    <x v="200"/>
    <n v="19350.77"/>
    <s v="Jul"/>
    <n v="7"/>
    <x v="200"/>
  </r>
  <r>
    <d v="2022-07-21T00:00:00"/>
    <x v="4"/>
    <s v="8077.31"/>
    <s v="9217.89"/>
    <s v="East"/>
    <x v="2"/>
    <x v="0"/>
    <x v="3"/>
    <x v="201"/>
    <n v="9217.89"/>
    <s v="Jul"/>
    <n v="7"/>
    <x v="201"/>
  </r>
  <r>
    <d v="2022-07-22T00:00:00"/>
    <x v="1"/>
    <s v="14821.29"/>
    <s v="14382.12"/>
    <s v="South"/>
    <x v="1"/>
    <x v="2"/>
    <x v="7"/>
    <x v="202"/>
    <n v="14382.12"/>
    <s v="Jul"/>
    <n v="7"/>
    <x v="202"/>
  </r>
  <r>
    <d v="2022-07-23T00:00:00"/>
    <x v="0"/>
    <s v="9327.55"/>
    <s v="9620.79"/>
    <s v="West"/>
    <x v="2"/>
    <x v="0"/>
    <x v="7"/>
    <x v="203"/>
    <n v="9620.7900000000009"/>
    <s v="Jul"/>
    <n v="7"/>
    <x v="203"/>
  </r>
  <r>
    <d v="2022-07-24T00:00:00"/>
    <x v="0"/>
    <s v="14562.71"/>
    <s v="15477.55"/>
    <s v="South"/>
    <x v="2"/>
    <x v="1"/>
    <x v="7"/>
    <x v="204"/>
    <n v="15477.55"/>
    <s v="Jul"/>
    <n v="7"/>
    <x v="204"/>
  </r>
  <r>
    <d v="2022-07-25T00:00:00"/>
    <x v="2"/>
    <s v="13124.83"/>
    <s v="13480.48"/>
    <s v="North"/>
    <x v="1"/>
    <x v="1"/>
    <x v="7"/>
    <x v="205"/>
    <n v="13480.48"/>
    <s v="Jul"/>
    <n v="7"/>
    <x v="205"/>
  </r>
  <r>
    <d v="2022-07-26T00:00:00"/>
    <x v="4"/>
    <s v="-7836.77"/>
    <s v="-7371.56"/>
    <s v="North"/>
    <x v="3"/>
    <x v="1"/>
    <x v="1"/>
    <x v="206"/>
    <n v="-7371.56"/>
    <s v="Jul"/>
    <n v="7"/>
    <x v="206"/>
  </r>
  <r>
    <d v="2022-07-27T00:00:00"/>
    <x v="3"/>
    <s v="14451.83"/>
    <s v="14813.57"/>
    <s v="North"/>
    <x v="3"/>
    <x v="0"/>
    <x v="5"/>
    <x v="207"/>
    <n v="14813.57"/>
    <s v="Jul"/>
    <n v="7"/>
    <x v="207"/>
  </r>
  <r>
    <d v="2022-07-28T00:00:00"/>
    <x v="3"/>
    <s v="7694.18"/>
    <s v="7736.89"/>
    <s v="East"/>
    <x v="1"/>
    <x v="0"/>
    <x v="5"/>
    <x v="208"/>
    <n v="7736.89"/>
    <s v="Jul"/>
    <n v="7"/>
    <x v="208"/>
  </r>
  <r>
    <d v="2022-07-29T00:00:00"/>
    <x v="0"/>
    <s v="6845.01"/>
    <s v="7383.51"/>
    <s v="West"/>
    <x v="3"/>
    <x v="1"/>
    <x v="1"/>
    <x v="209"/>
    <n v="7383.51"/>
    <s v="Jul"/>
    <n v="7"/>
    <x v="209"/>
  </r>
  <r>
    <d v="2022-07-30T00:00:00"/>
    <x v="0"/>
    <s v="21533.51"/>
    <s v="22084.54"/>
    <s v="West"/>
    <x v="2"/>
    <x v="1"/>
    <x v="3"/>
    <x v="210"/>
    <n v="22084.54"/>
    <s v="Jul"/>
    <n v="7"/>
    <x v="210"/>
  </r>
  <r>
    <d v="2022-07-31T00:00:00"/>
    <x v="4"/>
    <s v="10274.99"/>
    <s v="9502.43"/>
    <s v="South"/>
    <x v="1"/>
    <x v="0"/>
    <x v="4"/>
    <x v="211"/>
    <n v="9502.43"/>
    <s v="Jul"/>
    <n v="7"/>
    <x v="211"/>
  </r>
  <r>
    <d v="2022-08-01T00:00:00"/>
    <x v="3"/>
    <s v="12662.05"/>
    <s v="10869.56"/>
    <s v="West"/>
    <x v="2"/>
    <x v="1"/>
    <x v="6"/>
    <x v="212"/>
    <n v="10869.56"/>
    <s v="Aug"/>
    <n v="8"/>
    <x v="212"/>
  </r>
  <r>
    <d v="2022-08-02T00:00:00"/>
    <x v="1"/>
    <s v="15987.44"/>
    <s v="18159.12"/>
    <s v="West"/>
    <x v="2"/>
    <x v="2"/>
    <x v="5"/>
    <x v="213"/>
    <n v="18159.12"/>
    <s v="Aug"/>
    <n v="8"/>
    <x v="213"/>
  </r>
  <r>
    <d v="2022-08-03T00:00:00"/>
    <x v="0"/>
    <s v="7246.55"/>
    <s v="8218.38"/>
    <s v="North"/>
    <x v="1"/>
    <x v="0"/>
    <x v="4"/>
    <x v="214"/>
    <n v="8218.3799999999992"/>
    <s v="Aug"/>
    <n v="8"/>
    <x v="214"/>
  </r>
  <r>
    <d v="2022-08-04T00:00:00"/>
    <x v="0"/>
    <s v="-1775.81"/>
    <s v="-1687.87"/>
    <s v="North"/>
    <x v="0"/>
    <x v="2"/>
    <x v="5"/>
    <x v="215"/>
    <n v="-1687.87"/>
    <s v="Aug"/>
    <n v="8"/>
    <x v="215"/>
  </r>
  <r>
    <d v="2022-08-05T00:00:00"/>
    <x v="3"/>
    <s v="2020.56"/>
    <s v="2055.88"/>
    <s v="East"/>
    <x v="2"/>
    <x v="1"/>
    <x v="2"/>
    <x v="216"/>
    <n v="2055.88"/>
    <s v="Aug"/>
    <n v="8"/>
    <x v="216"/>
  </r>
  <r>
    <d v="2022-08-06T00:00:00"/>
    <x v="4"/>
    <s v="-26.88"/>
    <s v="-25.74"/>
    <s v="West"/>
    <x v="0"/>
    <x v="1"/>
    <x v="7"/>
    <x v="217"/>
    <n v="-25.74"/>
    <s v="Aug"/>
    <n v="8"/>
    <x v="217"/>
  </r>
  <r>
    <d v="2022-08-07T00:00:00"/>
    <x v="3"/>
    <s v="-2591.32"/>
    <s v="-2601.19"/>
    <s v="West"/>
    <x v="2"/>
    <x v="1"/>
    <x v="3"/>
    <x v="218"/>
    <n v="-2601.19"/>
    <s v="Aug"/>
    <n v="8"/>
    <x v="218"/>
  </r>
  <r>
    <d v="2022-08-08T00:00:00"/>
    <x v="0"/>
    <s v="13461.37"/>
    <s v="15616.49"/>
    <s v="East"/>
    <x v="0"/>
    <x v="0"/>
    <x v="2"/>
    <x v="219"/>
    <n v="15616.49"/>
    <s v="Aug"/>
    <n v="8"/>
    <x v="219"/>
  </r>
  <r>
    <d v="2022-08-09T00:00:00"/>
    <x v="3"/>
    <s v="-7656.07"/>
    <s v="-6343.45"/>
    <s v="North"/>
    <x v="1"/>
    <x v="0"/>
    <x v="5"/>
    <x v="220"/>
    <n v="-6343.45"/>
    <s v="Aug"/>
    <n v="8"/>
    <x v="220"/>
  </r>
  <r>
    <d v="2022-08-10T00:00:00"/>
    <x v="2"/>
    <s v="706.02"/>
    <s v="799.85"/>
    <s v="East"/>
    <x v="0"/>
    <x v="2"/>
    <x v="1"/>
    <x v="221"/>
    <n v="799.85"/>
    <s v="Aug"/>
    <n v="8"/>
    <x v="221"/>
  </r>
  <r>
    <d v="2022-08-11T00:00:00"/>
    <x v="0"/>
    <s v="4837.97"/>
    <s v="5448.42"/>
    <s v="North"/>
    <x v="2"/>
    <x v="2"/>
    <x v="1"/>
    <x v="222"/>
    <n v="5448.42"/>
    <s v="Aug"/>
    <n v="8"/>
    <x v="222"/>
  </r>
  <r>
    <d v="2022-08-12T00:00:00"/>
    <x v="3"/>
    <s v="5195.35"/>
    <s v="4950.47"/>
    <s v="East"/>
    <x v="1"/>
    <x v="0"/>
    <x v="1"/>
    <x v="223"/>
    <n v="4950.47"/>
    <s v="Aug"/>
    <n v="8"/>
    <x v="223"/>
  </r>
  <r>
    <d v="2022-08-13T00:00:00"/>
    <x v="3"/>
    <s v="-939.75"/>
    <s v="-926.97"/>
    <s v="East"/>
    <x v="2"/>
    <x v="1"/>
    <x v="2"/>
    <x v="224"/>
    <n v="-926.97"/>
    <s v="Aug"/>
    <n v="8"/>
    <x v="224"/>
  </r>
  <r>
    <d v="2022-08-14T00:00:00"/>
    <x v="3"/>
    <s v="4818.45"/>
    <s v="4918.26"/>
    <s v="South"/>
    <x v="2"/>
    <x v="0"/>
    <x v="2"/>
    <x v="225"/>
    <n v="4918.26"/>
    <s v="Aug"/>
    <n v="8"/>
    <x v="225"/>
  </r>
  <r>
    <d v="2022-08-15T00:00:00"/>
    <x v="0"/>
    <s v="7464.19"/>
    <s v="7662.4"/>
    <s v="East"/>
    <x v="0"/>
    <x v="2"/>
    <x v="5"/>
    <x v="226"/>
    <n v="7662.4"/>
    <s v="Aug"/>
    <n v="8"/>
    <x v="226"/>
  </r>
  <r>
    <d v="2022-08-16T00:00:00"/>
    <x v="3"/>
    <s v="1911.63"/>
    <s v="1946.0"/>
    <s v="North"/>
    <x v="0"/>
    <x v="0"/>
    <x v="0"/>
    <x v="227"/>
    <n v="1946"/>
    <s v="Aug"/>
    <n v="8"/>
    <x v="227"/>
  </r>
  <r>
    <d v="2022-08-17T00:00:00"/>
    <x v="2"/>
    <s v="17764.52"/>
    <s v="15162.87"/>
    <s v="West"/>
    <x v="1"/>
    <x v="0"/>
    <x v="1"/>
    <x v="228"/>
    <n v="15162.87"/>
    <s v="Aug"/>
    <n v="8"/>
    <x v="228"/>
  </r>
  <r>
    <d v="2022-08-18T00:00:00"/>
    <x v="3"/>
    <s v="-3905.36"/>
    <s v="-3955.56"/>
    <s v="South"/>
    <x v="2"/>
    <x v="1"/>
    <x v="2"/>
    <x v="229"/>
    <n v="-3955.56"/>
    <s v="Aug"/>
    <n v="8"/>
    <x v="229"/>
  </r>
  <r>
    <d v="2022-08-19T00:00:00"/>
    <x v="3"/>
    <s v="13643.83"/>
    <s v="15765.95"/>
    <s v="North"/>
    <x v="2"/>
    <x v="2"/>
    <x v="5"/>
    <x v="230"/>
    <n v="15765.95"/>
    <s v="Aug"/>
    <n v="8"/>
    <x v="230"/>
  </r>
  <r>
    <d v="2022-08-20T00:00:00"/>
    <x v="2"/>
    <s v="2405.42"/>
    <s v="2390.58"/>
    <s v="North"/>
    <x v="2"/>
    <x v="1"/>
    <x v="1"/>
    <x v="231"/>
    <n v="2390.58"/>
    <s v="Aug"/>
    <n v="8"/>
    <x v="231"/>
  </r>
  <r>
    <d v="2022-08-21T00:00:00"/>
    <x v="1"/>
    <s v="8052.93"/>
    <s v="7957.63"/>
    <s v="South"/>
    <x v="0"/>
    <x v="2"/>
    <x v="1"/>
    <x v="232"/>
    <n v="7957.63"/>
    <s v="Aug"/>
    <n v="8"/>
    <x v="232"/>
  </r>
  <r>
    <d v="2022-08-22T00:00:00"/>
    <x v="4"/>
    <s v="7600.51"/>
    <s v="7486.63"/>
    <s v="West"/>
    <x v="1"/>
    <x v="2"/>
    <x v="3"/>
    <x v="233"/>
    <n v="7486.63"/>
    <s v="Aug"/>
    <n v="8"/>
    <x v="233"/>
  </r>
  <r>
    <d v="2022-08-23T00:00:00"/>
    <x v="0"/>
    <s v="2457.81"/>
    <s v="2489.56"/>
    <s v="West"/>
    <x v="0"/>
    <x v="1"/>
    <x v="0"/>
    <x v="234"/>
    <n v="2489.56"/>
    <s v="Aug"/>
    <n v="8"/>
    <x v="234"/>
  </r>
  <r>
    <d v="2022-08-24T00:00:00"/>
    <x v="1"/>
    <s v="8215.82"/>
    <s v="8110.89"/>
    <s v="East"/>
    <x v="0"/>
    <x v="0"/>
    <x v="1"/>
    <x v="235"/>
    <n v="8110.89"/>
    <s v="Aug"/>
    <n v="8"/>
    <x v="235"/>
  </r>
  <r>
    <d v="2022-08-25T00:00:00"/>
    <x v="4"/>
    <s v="8074.08"/>
    <s v="7316.01"/>
    <s v="North"/>
    <x v="3"/>
    <x v="2"/>
    <x v="0"/>
    <x v="236"/>
    <n v="7316.01"/>
    <s v="Aug"/>
    <n v="8"/>
    <x v="236"/>
  </r>
  <r>
    <d v="2022-08-26T00:00:00"/>
    <x v="4"/>
    <s v="17643.86"/>
    <s v="14978.59"/>
    <s v="South"/>
    <x v="1"/>
    <x v="2"/>
    <x v="6"/>
    <x v="237"/>
    <n v="14978.59"/>
    <s v="Aug"/>
    <n v="8"/>
    <x v="237"/>
  </r>
  <r>
    <d v="2022-08-27T00:00:00"/>
    <x v="2"/>
    <s v="8097.61"/>
    <s v="8771.62"/>
    <s v="North"/>
    <x v="0"/>
    <x v="0"/>
    <x v="0"/>
    <x v="238"/>
    <n v="8771.6200000000008"/>
    <s v="Aug"/>
    <n v="8"/>
    <x v="238"/>
  </r>
  <r>
    <d v="2022-08-28T00:00:00"/>
    <x v="3"/>
    <s v="10175.71"/>
    <s v="10072.29"/>
    <s v="North"/>
    <x v="3"/>
    <x v="2"/>
    <x v="2"/>
    <x v="239"/>
    <n v="10072.290000000001"/>
    <s v="Aug"/>
    <n v="8"/>
    <x v="239"/>
  </r>
  <r>
    <d v="2022-08-29T00:00:00"/>
    <x v="1"/>
    <s v="17992.38"/>
    <s v="16432.71"/>
    <s v="West"/>
    <x v="2"/>
    <x v="0"/>
    <x v="3"/>
    <x v="240"/>
    <n v="16432.71"/>
    <s v="Aug"/>
    <n v="8"/>
    <x v="240"/>
  </r>
  <r>
    <d v="2022-08-30T00:00:00"/>
    <x v="0"/>
    <s v="11788.98"/>
    <s v="12083.26"/>
    <s v="West"/>
    <x v="0"/>
    <x v="2"/>
    <x v="0"/>
    <x v="241"/>
    <n v="12083.26"/>
    <s v="Aug"/>
    <n v="8"/>
    <x v="241"/>
  </r>
  <r>
    <d v="2022-08-31T00:00:00"/>
    <x v="0"/>
    <s v="23019.77"/>
    <s v="25647.65"/>
    <s v="North"/>
    <x v="3"/>
    <x v="1"/>
    <x v="2"/>
    <x v="242"/>
    <n v="25647.65"/>
    <s v="Aug"/>
    <n v="8"/>
    <x v="242"/>
  </r>
  <r>
    <d v="2022-09-01T00:00:00"/>
    <x v="1"/>
    <s v="2985.76"/>
    <s v="2938.76"/>
    <s v="South"/>
    <x v="1"/>
    <x v="0"/>
    <x v="4"/>
    <x v="243"/>
    <n v="2938.76"/>
    <s v="Sept"/>
    <n v="9"/>
    <x v="243"/>
  </r>
  <r>
    <d v="2022-09-02T00:00:00"/>
    <x v="3"/>
    <s v="-3557.61"/>
    <s v="-3760.44"/>
    <s v="East"/>
    <x v="3"/>
    <x v="0"/>
    <x v="1"/>
    <x v="244"/>
    <n v="-3760.44"/>
    <s v="Sept"/>
    <n v="9"/>
    <x v="244"/>
  </r>
  <r>
    <d v="2022-09-03T00:00:00"/>
    <x v="2"/>
    <s v="5026.59"/>
    <s v="5529.7"/>
    <s v="South"/>
    <x v="3"/>
    <x v="1"/>
    <x v="2"/>
    <x v="245"/>
    <n v="5529.7"/>
    <s v="Sept"/>
    <n v="9"/>
    <x v="245"/>
  </r>
  <r>
    <d v="2022-09-04T00:00:00"/>
    <x v="0"/>
    <s v="10048.58"/>
    <s v="10379.26"/>
    <s v="South"/>
    <x v="1"/>
    <x v="1"/>
    <x v="7"/>
    <x v="246"/>
    <n v="10379.26"/>
    <s v="Sept"/>
    <n v="9"/>
    <x v="246"/>
  </r>
  <r>
    <d v="2022-09-05T00:00:00"/>
    <x v="4"/>
    <s v="13580.9"/>
    <s v="13698.01"/>
    <s v="East"/>
    <x v="0"/>
    <x v="1"/>
    <x v="2"/>
    <x v="247"/>
    <n v="13698.01"/>
    <s v="Sept"/>
    <n v="9"/>
    <x v="247"/>
  </r>
  <r>
    <d v="2022-09-06T00:00:00"/>
    <x v="2"/>
    <s v="2085.59"/>
    <s v="2351.69"/>
    <s v="South"/>
    <x v="2"/>
    <x v="0"/>
    <x v="0"/>
    <x v="248"/>
    <n v="2351.69"/>
    <s v="Sept"/>
    <n v="9"/>
    <x v="248"/>
  </r>
  <r>
    <d v="2022-09-07T00:00:00"/>
    <x v="1"/>
    <s v="-444.98"/>
    <s v="-499.25"/>
    <s v="North"/>
    <x v="0"/>
    <x v="2"/>
    <x v="1"/>
    <x v="249"/>
    <n v="-499.25"/>
    <s v="Sept"/>
    <n v="9"/>
    <x v="249"/>
  </r>
  <r>
    <d v="2022-09-08T00:00:00"/>
    <x v="2"/>
    <s v="3437.27"/>
    <s v="2911.14"/>
    <s v="South"/>
    <x v="0"/>
    <x v="2"/>
    <x v="5"/>
    <x v="250"/>
    <n v="2911.14"/>
    <s v="Sept"/>
    <n v="9"/>
    <x v="250"/>
  </r>
  <r>
    <d v="2022-09-09T00:00:00"/>
    <x v="4"/>
    <s v="13737.79"/>
    <s v="13301.22"/>
    <s v="East"/>
    <x v="2"/>
    <x v="1"/>
    <x v="5"/>
    <x v="251"/>
    <n v="13301.22"/>
    <s v="Sept"/>
    <n v="9"/>
    <x v="251"/>
  </r>
  <r>
    <d v="2022-09-10T00:00:00"/>
    <x v="3"/>
    <s v="9122.63"/>
    <s v="9711.94"/>
    <s v="East"/>
    <x v="1"/>
    <x v="2"/>
    <x v="3"/>
    <x v="252"/>
    <n v="9711.94"/>
    <s v="Sept"/>
    <n v="9"/>
    <x v="252"/>
  </r>
  <r>
    <d v="2022-09-11T00:00:00"/>
    <x v="1"/>
    <s v="4415.64"/>
    <s v="4435.23"/>
    <s v="East"/>
    <x v="3"/>
    <x v="2"/>
    <x v="3"/>
    <x v="253"/>
    <n v="4435.2299999999996"/>
    <s v="Sept"/>
    <n v="9"/>
    <x v="253"/>
  </r>
  <r>
    <d v="2022-09-12T00:00:00"/>
    <x v="2"/>
    <s v="4852.94"/>
    <s v="4990.16"/>
    <s v="West"/>
    <x v="0"/>
    <x v="0"/>
    <x v="6"/>
    <x v="254"/>
    <n v="4990.16"/>
    <s v="Sept"/>
    <n v="9"/>
    <x v="254"/>
  </r>
  <r>
    <d v="2022-09-13T00:00:00"/>
    <x v="0"/>
    <s v="4390.47"/>
    <s v="3944.7"/>
    <s v="South"/>
    <x v="2"/>
    <x v="2"/>
    <x v="0"/>
    <x v="255"/>
    <n v="3944.7"/>
    <s v="Sept"/>
    <n v="9"/>
    <x v="255"/>
  </r>
  <r>
    <d v="2022-09-14T00:00:00"/>
    <x v="1"/>
    <s v="-4863.47"/>
    <s v="-4982.1"/>
    <s v="East"/>
    <x v="0"/>
    <x v="2"/>
    <x v="5"/>
    <x v="256"/>
    <n v="-4982.1000000000004"/>
    <s v="Sept"/>
    <n v="9"/>
    <x v="256"/>
  </r>
  <r>
    <d v="2022-09-15T00:00:00"/>
    <x v="1"/>
    <s v="15710.9"/>
    <s v="17946.04"/>
    <s v="East"/>
    <x v="3"/>
    <x v="1"/>
    <x v="1"/>
    <x v="257"/>
    <n v="17946.04"/>
    <s v="Sept"/>
    <n v="9"/>
    <x v="257"/>
  </r>
  <r>
    <d v="2022-09-16T00:00:00"/>
    <x v="4"/>
    <s v="17011.24"/>
    <s v="18414.87"/>
    <s v="North"/>
    <x v="2"/>
    <x v="1"/>
    <x v="6"/>
    <x v="258"/>
    <n v="18414.87"/>
    <s v="Sept"/>
    <n v="9"/>
    <x v="258"/>
  </r>
  <r>
    <d v="2022-09-17T00:00:00"/>
    <x v="4"/>
    <s v="14506.55"/>
    <s v="14055.65"/>
    <s v="North"/>
    <x v="2"/>
    <x v="0"/>
    <x v="4"/>
    <x v="259"/>
    <n v="14055.65"/>
    <s v="Sept"/>
    <n v="9"/>
    <x v="259"/>
  </r>
  <r>
    <d v="2022-09-18T00:00:00"/>
    <x v="0"/>
    <s v="6430.65"/>
    <s v="6379.82"/>
    <s v="East"/>
    <x v="3"/>
    <x v="1"/>
    <x v="5"/>
    <x v="260"/>
    <n v="6379.82"/>
    <s v="Sept"/>
    <n v="9"/>
    <x v="260"/>
  </r>
  <r>
    <d v="2022-09-19T00:00:00"/>
    <x v="0"/>
    <s v="7576.28"/>
    <s v="8610.17"/>
    <s v="East"/>
    <x v="0"/>
    <x v="0"/>
    <x v="7"/>
    <x v="261"/>
    <n v="8610.17"/>
    <s v="Sept"/>
    <n v="9"/>
    <x v="261"/>
  </r>
  <r>
    <d v="2022-09-20T00:00:00"/>
    <x v="4"/>
    <s v="-1178.64"/>
    <s v="-1156.39"/>
    <s v="East"/>
    <x v="1"/>
    <x v="0"/>
    <x v="6"/>
    <x v="262"/>
    <n v="-1156.3900000000001"/>
    <s v="Sept"/>
    <n v="9"/>
    <x v="262"/>
  </r>
  <r>
    <d v="2022-09-21T00:00:00"/>
    <x v="4"/>
    <s v="11111.59"/>
    <s v="10817.16"/>
    <s v="South"/>
    <x v="0"/>
    <x v="1"/>
    <x v="4"/>
    <x v="263"/>
    <n v="10817.16"/>
    <s v="Sept"/>
    <n v="9"/>
    <x v="263"/>
  </r>
  <r>
    <d v="2022-09-22T00:00:00"/>
    <x v="2"/>
    <s v="-1675.23"/>
    <s v="-1624.58"/>
    <s v="East"/>
    <x v="1"/>
    <x v="1"/>
    <x v="6"/>
    <x v="264"/>
    <n v="-1624.58"/>
    <s v="Sept"/>
    <n v="9"/>
    <x v="264"/>
  </r>
  <r>
    <d v="2022-09-23T00:00:00"/>
    <x v="0"/>
    <s v="9299.85"/>
    <s v="9165.13"/>
    <s v="North"/>
    <x v="2"/>
    <x v="1"/>
    <x v="7"/>
    <x v="265"/>
    <n v="9165.1299999999992"/>
    <s v="Sept"/>
    <n v="9"/>
    <x v="265"/>
  </r>
  <r>
    <d v="2022-09-24T00:00:00"/>
    <x v="1"/>
    <s v="5205.97"/>
    <s v="4980.97"/>
    <s v="North"/>
    <x v="2"/>
    <x v="0"/>
    <x v="7"/>
    <x v="266"/>
    <n v="4980.97"/>
    <s v="Sept"/>
    <n v="9"/>
    <x v="266"/>
  </r>
  <r>
    <d v="2022-09-25T00:00:00"/>
    <x v="4"/>
    <s v="8961.58"/>
    <s v="9479.29"/>
    <s v="West"/>
    <x v="2"/>
    <x v="1"/>
    <x v="5"/>
    <x v="267"/>
    <n v="9479.2900000000009"/>
    <s v="Sept"/>
    <n v="9"/>
    <x v="267"/>
  </r>
  <r>
    <d v="2022-09-26T00:00:00"/>
    <x v="3"/>
    <s v="12887.3"/>
    <s v="12189.6"/>
    <s v="North"/>
    <x v="0"/>
    <x v="0"/>
    <x v="5"/>
    <x v="268"/>
    <n v="12189.6"/>
    <s v="Sept"/>
    <n v="9"/>
    <x v="268"/>
  </r>
  <r>
    <d v="2022-09-27T00:00:00"/>
    <x v="0"/>
    <s v="7540.93"/>
    <s v="8601.18"/>
    <s v="East"/>
    <x v="3"/>
    <x v="2"/>
    <x v="1"/>
    <x v="269"/>
    <n v="8601.18"/>
    <s v="Sept"/>
    <n v="9"/>
    <x v="269"/>
  </r>
  <r>
    <d v="2022-09-28T00:00:00"/>
    <x v="2"/>
    <s v="-2739.08"/>
    <s v="-3057.49"/>
    <s v="North"/>
    <x v="1"/>
    <x v="1"/>
    <x v="7"/>
    <x v="270"/>
    <n v="-3057.49"/>
    <s v="Sept"/>
    <n v="9"/>
    <x v="270"/>
  </r>
  <r>
    <d v="2022-09-29T00:00:00"/>
    <x v="2"/>
    <s v="12530.36"/>
    <s v="11950.65"/>
    <s v="South"/>
    <x v="1"/>
    <x v="0"/>
    <x v="0"/>
    <x v="271"/>
    <n v="11950.65"/>
    <s v="Sept"/>
    <n v="9"/>
    <x v="271"/>
  </r>
  <r>
    <d v="2022-09-30T00:00:00"/>
    <x v="3"/>
    <s v="6091.52"/>
    <s v="6390.04"/>
    <s v="South"/>
    <x v="2"/>
    <x v="0"/>
    <x v="0"/>
    <x v="272"/>
    <n v="6390.04"/>
    <s v="Sept"/>
    <n v="9"/>
    <x v="272"/>
  </r>
  <r>
    <d v="2022-10-01T00:00:00"/>
    <x v="4"/>
    <s v="9082.0"/>
    <s v="8811.07"/>
    <s v="East"/>
    <x v="0"/>
    <x v="0"/>
    <x v="7"/>
    <x v="273"/>
    <n v="8811.07"/>
    <s v="Oct"/>
    <n v="10"/>
    <x v="273"/>
  </r>
  <r>
    <d v="2022-10-02T00:00:00"/>
    <x v="0"/>
    <s v="6778.01"/>
    <s v="7240.4"/>
    <s v="West"/>
    <x v="1"/>
    <x v="1"/>
    <x v="2"/>
    <x v="274"/>
    <n v="7240.4"/>
    <s v="Oct"/>
    <n v="10"/>
    <x v="274"/>
  </r>
  <r>
    <d v="2022-10-03T00:00:00"/>
    <x v="1"/>
    <s v="13658.58"/>
    <s v="13216.97"/>
    <s v="North"/>
    <x v="1"/>
    <x v="2"/>
    <x v="0"/>
    <x v="275"/>
    <n v="13216.97"/>
    <s v="Oct"/>
    <n v="10"/>
    <x v="275"/>
  </r>
  <r>
    <d v="2022-10-04T00:00:00"/>
    <x v="2"/>
    <s v="11402.46"/>
    <s v="10547.48"/>
    <s v="East"/>
    <x v="0"/>
    <x v="1"/>
    <x v="6"/>
    <x v="276"/>
    <n v="10547.48"/>
    <s v="Oct"/>
    <n v="10"/>
    <x v="276"/>
  </r>
  <r>
    <d v="2022-10-05T00:00:00"/>
    <x v="3"/>
    <s v="13213.33"/>
    <s v="12939.19"/>
    <s v="South"/>
    <x v="0"/>
    <x v="2"/>
    <x v="4"/>
    <x v="277"/>
    <n v="12939.19"/>
    <s v="Oct"/>
    <n v="10"/>
    <x v="277"/>
  </r>
  <r>
    <d v="2022-10-06T00:00:00"/>
    <x v="1"/>
    <s v="9671.36"/>
    <s v="8913.0"/>
    <s v="West"/>
    <x v="2"/>
    <x v="2"/>
    <x v="5"/>
    <x v="278"/>
    <n v="8913"/>
    <s v="Oct"/>
    <n v="10"/>
    <x v="278"/>
  </r>
  <r>
    <d v="2022-10-07T00:00:00"/>
    <x v="1"/>
    <s v="9245.02"/>
    <s v="9473.93"/>
    <s v="South"/>
    <x v="0"/>
    <x v="0"/>
    <x v="4"/>
    <x v="279"/>
    <n v="9473.93"/>
    <s v="Oct"/>
    <n v="10"/>
    <x v="279"/>
  </r>
  <r>
    <d v="2022-10-08T00:00:00"/>
    <x v="0"/>
    <s v="6649.28"/>
    <s v="7173.67"/>
    <s v="West"/>
    <x v="2"/>
    <x v="2"/>
    <x v="4"/>
    <x v="280"/>
    <n v="7173.67"/>
    <s v="Oct"/>
    <n v="10"/>
    <x v="280"/>
  </r>
  <r>
    <d v="2022-10-09T00:00:00"/>
    <x v="4"/>
    <s v="9294.56"/>
    <s v="8689.48"/>
    <s v="West"/>
    <x v="0"/>
    <x v="2"/>
    <x v="7"/>
    <x v="281"/>
    <n v="8689.48"/>
    <s v="Oct"/>
    <n v="10"/>
    <x v="281"/>
  </r>
  <r>
    <d v="2022-10-10T00:00:00"/>
    <x v="3"/>
    <s v="-1678.29"/>
    <s v="-1748.94"/>
    <s v="North"/>
    <x v="0"/>
    <x v="2"/>
    <x v="0"/>
    <x v="282"/>
    <n v="-1748.94"/>
    <s v="Oct"/>
    <n v="10"/>
    <x v="282"/>
  </r>
  <r>
    <d v="2022-10-11T00:00:00"/>
    <x v="1"/>
    <s v="-1611.11"/>
    <s v="-1470.1"/>
    <s v="North"/>
    <x v="1"/>
    <x v="1"/>
    <x v="6"/>
    <x v="283"/>
    <n v="-1470.1"/>
    <s v="Oct"/>
    <n v="10"/>
    <x v="283"/>
  </r>
  <r>
    <d v="2022-10-12T00:00:00"/>
    <x v="3"/>
    <s v="6816.06"/>
    <s v="6872.28"/>
    <s v="East"/>
    <x v="1"/>
    <x v="2"/>
    <x v="0"/>
    <x v="284"/>
    <n v="6872.28"/>
    <s v="Oct"/>
    <n v="10"/>
    <x v="284"/>
  </r>
  <r>
    <d v="2022-10-13T00:00:00"/>
    <x v="4"/>
    <s v="3671.89"/>
    <s v="3820.85"/>
    <s v="South"/>
    <x v="1"/>
    <x v="1"/>
    <x v="1"/>
    <x v="285"/>
    <n v="3820.85"/>
    <s v="Oct"/>
    <n v="10"/>
    <x v="285"/>
  </r>
  <r>
    <d v="2022-10-14T00:00:00"/>
    <x v="3"/>
    <s v="17553.55"/>
    <s v="17899.97"/>
    <s v="North"/>
    <x v="1"/>
    <x v="2"/>
    <x v="0"/>
    <x v="286"/>
    <n v="17899.97"/>
    <s v="Oct"/>
    <n v="10"/>
    <x v="286"/>
  </r>
  <r>
    <d v="2022-10-15T00:00:00"/>
    <x v="0"/>
    <s v="1552.6"/>
    <s v="1635.35"/>
    <s v="North"/>
    <x v="1"/>
    <x v="1"/>
    <x v="7"/>
    <x v="287"/>
    <n v="1635.35"/>
    <s v="Oct"/>
    <n v="10"/>
    <x v="287"/>
  </r>
  <r>
    <d v="2022-10-16T00:00:00"/>
    <x v="4"/>
    <s v="4891.4"/>
    <s v="4940.03"/>
    <s v="East"/>
    <x v="1"/>
    <x v="0"/>
    <x v="0"/>
    <x v="288"/>
    <n v="4940.03"/>
    <s v="Oct"/>
    <n v="10"/>
    <x v="288"/>
  </r>
  <r>
    <d v="2022-10-17T00:00:00"/>
    <x v="2"/>
    <s v="20513.8"/>
    <s v="20944.5"/>
    <s v="West"/>
    <x v="0"/>
    <x v="2"/>
    <x v="7"/>
    <x v="289"/>
    <n v="20944.5"/>
    <s v="Oct"/>
    <n v="10"/>
    <x v="289"/>
  </r>
  <r>
    <d v="2022-10-18T00:00:00"/>
    <x v="1"/>
    <s v="-1433.24"/>
    <s v="-1241.41"/>
    <s v="West"/>
    <x v="3"/>
    <x v="2"/>
    <x v="3"/>
    <x v="290"/>
    <n v="-1241.4100000000001"/>
    <s v="Oct"/>
    <n v="10"/>
    <x v="290"/>
  </r>
  <r>
    <d v="2022-10-19T00:00:00"/>
    <x v="3"/>
    <s v="11851.59"/>
    <s v="11636.74"/>
    <s v="West"/>
    <x v="3"/>
    <x v="0"/>
    <x v="3"/>
    <x v="291"/>
    <n v="11636.74"/>
    <s v="Oct"/>
    <n v="10"/>
    <x v="291"/>
  </r>
  <r>
    <d v="2022-10-20T00:00:00"/>
    <x v="0"/>
    <s v="7570.29"/>
    <s v="7950.56"/>
    <s v="East"/>
    <x v="3"/>
    <x v="0"/>
    <x v="3"/>
    <x v="292"/>
    <n v="7950.56"/>
    <s v="Oct"/>
    <n v="10"/>
    <x v="292"/>
  </r>
  <r>
    <d v="2022-10-21T00:00:00"/>
    <x v="3"/>
    <s v="2496.37"/>
    <s v="2486.9"/>
    <s v="East"/>
    <x v="2"/>
    <x v="0"/>
    <x v="2"/>
    <x v="293"/>
    <n v="2486.9"/>
    <s v="Oct"/>
    <n v="10"/>
    <x v="293"/>
  </r>
  <r>
    <d v="2022-10-22T00:00:00"/>
    <x v="2"/>
    <s v="271.16"/>
    <s v="223.71"/>
    <s v="West"/>
    <x v="3"/>
    <x v="0"/>
    <x v="5"/>
    <x v="294"/>
    <n v="223.71"/>
    <s v="Oct"/>
    <n v="10"/>
    <x v="294"/>
  </r>
  <r>
    <d v="2022-10-23T00:00:00"/>
    <x v="4"/>
    <s v="17284.88"/>
    <s v="16217.87"/>
    <s v="West"/>
    <x v="0"/>
    <x v="1"/>
    <x v="3"/>
    <x v="295"/>
    <n v="16217.87"/>
    <s v="Oct"/>
    <n v="10"/>
    <x v="295"/>
  </r>
  <r>
    <d v="2022-10-24T00:00:00"/>
    <x v="0"/>
    <s v="5601.72"/>
    <s v="5141.62"/>
    <s v="West"/>
    <x v="3"/>
    <x v="1"/>
    <x v="3"/>
    <x v="296"/>
    <n v="5141.62"/>
    <s v="Oct"/>
    <n v="10"/>
    <x v="296"/>
  </r>
  <r>
    <d v="2022-10-25T00:00:00"/>
    <x v="4"/>
    <s v="17081.88"/>
    <s v="17455.63"/>
    <s v="South"/>
    <x v="1"/>
    <x v="0"/>
    <x v="4"/>
    <x v="297"/>
    <n v="17455.63"/>
    <s v="Oct"/>
    <n v="10"/>
    <x v="297"/>
  </r>
  <r>
    <d v="2022-10-26T00:00:00"/>
    <x v="1"/>
    <s v="3713.88"/>
    <s v="3644.28"/>
    <s v="West"/>
    <x v="2"/>
    <x v="2"/>
    <x v="0"/>
    <x v="298"/>
    <n v="3644.28"/>
    <s v="Oct"/>
    <n v="10"/>
    <x v="298"/>
  </r>
  <r>
    <d v="2022-10-27T00:00:00"/>
    <x v="2"/>
    <s v="9347.81"/>
    <s v="9165.63"/>
    <s v="North"/>
    <x v="0"/>
    <x v="2"/>
    <x v="1"/>
    <x v="299"/>
    <n v="9165.6299999999992"/>
    <s v="Oct"/>
    <n v="10"/>
    <x v="299"/>
  </r>
  <r>
    <d v="2022-10-28T00:00:00"/>
    <x v="4"/>
    <s v="8156.96"/>
    <s v="7937.92"/>
    <s v="North"/>
    <x v="2"/>
    <x v="0"/>
    <x v="3"/>
    <x v="300"/>
    <n v="7937.92"/>
    <s v="Oct"/>
    <n v="10"/>
    <x v="300"/>
  </r>
  <r>
    <d v="2022-10-29T00:00:00"/>
    <x v="4"/>
    <s v="6289.79"/>
    <s v="6197.73"/>
    <s v="South"/>
    <x v="2"/>
    <x v="1"/>
    <x v="0"/>
    <x v="301"/>
    <n v="6197.73"/>
    <s v="Oct"/>
    <n v="10"/>
    <x v="301"/>
  </r>
  <r>
    <d v="2022-10-30T00:00:00"/>
    <x v="4"/>
    <s v="-843.61"/>
    <s v="-848.75"/>
    <s v="East"/>
    <x v="0"/>
    <x v="2"/>
    <x v="7"/>
    <x v="302"/>
    <n v="-848.75"/>
    <s v="Oct"/>
    <n v="10"/>
    <x v="302"/>
  </r>
  <r>
    <d v="2022-10-31T00:00:00"/>
    <x v="4"/>
    <s v="7183.76"/>
    <s v="7070.27"/>
    <s v="West"/>
    <x v="2"/>
    <x v="2"/>
    <x v="3"/>
    <x v="303"/>
    <n v="7070.27"/>
    <s v="Oct"/>
    <n v="10"/>
    <x v="303"/>
  </r>
  <r>
    <d v="2022-11-01T00:00:00"/>
    <x v="3"/>
    <s v="3340.12"/>
    <s v="3460.22"/>
    <s v="East"/>
    <x v="1"/>
    <x v="2"/>
    <x v="5"/>
    <x v="304"/>
    <n v="3460.22"/>
    <s v="Nov"/>
    <n v="11"/>
    <x v="304"/>
  </r>
  <r>
    <d v="2022-11-02T00:00:00"/>
    <x v="4"/>
    <s v="5206.24"/>
    <s v="5321.84"/>
    <s v="West"/>
    <x v="2"/>
    <x v="0"/>
    <x v="5"/>
    <x v="305"/>
    <n v="5321.84"/>
    <s v="Nov"/>
    <n v="11"/>
    <x v="305"/>
  </r>
  <r>
    <d v="2022-11-03T00:00:00"/>
    <x v="1"/>
    <s v="6259.09"/>
    <s v="5750.81"/>
    <s v="West"/>
    <x v="1"/>
    <x v="2"/>
    <x v="3"/>
    <x v="306"/>
    <n v="5750.81"/>
    <s v="Nov"/>
    <n v="11"/>
    <x v="306"/>
  </r>
  <r>
    <d v="2022-11-04T00:00:00"/>
    <x v="2"/>
    <s v="3359.86"/>
    <s v="3261.85"/>
    <s v="North"/>
    <x v="1"/>
    <x v="2"/>
    <x v="1"/>
    <x v="307"/>
    <n v="3261.85"/>
    <s v="Nov"/>
    <n v="11"/>
    <x v="307"/>
  </r>
  <r>
    <d v="2022-11-05T00:00:00"/>
    <x v="4"/>
    <s v="4819.7"/>
    <s v="4880.28"/>
    <s v="West"/>
    <x v="2"/>
    <x v="1"/>
    <x v="3"/>
    <x v="308"/>
    <n v="4880.28"/>
    <s v="Nov"/>
    <n v="11"/>
    <x v="308"/>
  </r>
  <r>
    <d v="2022-11-06T00:00:00"/>
    <x v="0"/>
    <s v="10674.14"/>
    <s v="10763.55"/>
    <s v="North"/>
    <x v="0"/>
    <x v="0"/>
    <x v="2"/>
    <x v="309"/>
    <n v="10763.55"/>
    <s v="Nov"/>
    <n v="11"/>
    <x v="309"/>
  </r>
  <r>
    <d v="2022-11-07T00:00:00"/>
    <x v="3"/>
    <s v="20470.0"/>
    <s v="19447.45"/>
    <s v="East"/>
    <x v="0"/>
    <x v="0"/>
    <x v="0"/>
    <x v="310"/>
    <n v="19447.45"/>
    <s v="Nov"/>
    <n v="11"/>
    <x v="310"/>
  </r>
  <r>
    <d v="2022-11-08T00:00:00"/>
    <x v="2"/>
    <s v="818.16"/>
    <s v="777.88"/>
    <s v="South"/>
    <x v="2"/>
    <x v="2"/>
    <x v="7"/>
    <x v="311"/>
    <n v="777.88"/>
    <s v="Nov"/>
    <n v="11"/>
    <x v="311"/>
  </r>
  <r>
    <d v="2022-11-09T00:00:00"/>
    <x v="4"/>
    <s v="4294.01"/>
    <s v="4298.66"/>
    <s v="West"/>
    <x v="1"/>
    <x v="2"/>
    <x v="5"/>
    <x v="312"/>
    <n v="4298.66"/>
    <s v="Nov"/>
    <n v="11"/>
    <x v="312"/>
  </r>
  <r>
    <d v="2022-11-10T00:00:00"/>
    <x v="4"/>
    <s v="9253.2"/>
    <s v="8113.88"/>
    <s v="North"/>
    <x v="0"/>
    <x v="0"/>
    <x v="6"/>
    <x v="313"/>
    <n v="8113.88"/>
    <s v="Nov"/>
    <n v="11"/>
    <x v="313"/>
  </r>
  <r>
    <d v="2022-11-11T00:00:00"/>
    <x v="3"/>
    <s v="-1745.88"/>
    <s v="-1741.72"/>
    <s v="West"/>
    <x v="2"/>
    <x v="0"/>
    <x v="6"/>
    <x v="314"/>
    <n v="-1741.72"/>
    <s v="Nov"/>
    <n v="11"/>
    <x v="314"/>
  </r>
  <r>
    <d v="2022-11-12T00:00:00"/>
    <x v="2"/>
    <s v="-2351.96"/>
    <s v="-2400.81"/>
    <s v="East"/>
    <x v="3"/>
    <x v="1"/>
    <x v="3"/>
    <x v="315"/>
    <n v="-2400.81"/>
    <s v="Nov"/>
    <n v="11"/>
    <x v="315"/>
  </r>
  <r>
    <d v="2022-11-13T00:00:00"/>
    <x v="4"/>
    <s v="12175.76"/>
    <s v="11070.23"/>
    <s v="South"/>
    <x v="3"/>
    <x v="1"/>
    <x v="0"/>
    <x v="316"/>
    <n v="11070.23"/>
    <s v="Nov"/>
    <n v="11"/>
    <x v="316"/>
  </r>
  <r>
    <d v="2022-11-14T00:00:00"/>
    <x v="0"/>
    <s v="17654.28"/>
    <s v="19543.74"/>
    <s v="North"/>
    <x v="3"/>
    <x v="1"/>
    <x v="7"/>
    <x v="317"/>
    <n v="19543.740000000002"/>
    <s v="Nov"/>
    <n v="11"/>
    <x v="317"/>
  </r>
  <r>
    <d v="2022-11-15T00:00:00"/>
    <x v="2"/>
    <s v="3585.13"/>
    <s v="3325.34"/>
    <s v="North"/>
    <x v="3"/>
    <x v="0"/>
    <x v="2"/>
    <x v="318"/>
    <n v="3325.34"/>
    <s v="Nov"/>
    <n v="11"/>
    <x v="318"/>
  </r>
  <r>
    <d v="2022-11-16T00:00:00"/>
    <x v="0"/>
    <s v="18692.93"/>
    <s v="20102.87"/>
    <s v="North"/>
    <x v="0"/>
    <x v="1"/>
    <x v="3"/>
    <x v="319"/>
    <n v="20102.87"/>
    <s v="Nov"/>
    <n v="11"/>
    <x v="319"/>
  </r>
  <r>
    <d v="2022-11-17T00:00:00"/>
    <x v="3"/>
    <s v="11457.2"/>
    <s v="11896.67"/>
    <s v="South"/>
    <x v="2"/>
    <x v="0"/>
    <x v="1"/>
    <x v="320"/>
    <n v="11896.67"/>
    <s v="Nov"/>
    <n v="11"/>
    <x v="320"/>
  </r>
  <r>
    <d v="2022-11-18T00:00:00"/>
    <x v="4"/>
    <s v="6334.64"/>
    <s v="6435.8"/>
    <s v="East"/>
    <x v="2"/>
    <x v="2"/>
    <x v="6"/>
    <x v="321"/>
    <n v="6435.8"/>
    <s v="Nov"/>
    <n v="11"/>
    <x v="321"/>
  </r>
  <r>
    <d v="2022-11-19T00:00:00"/>
    <x v="0"/>
    <s v="10442.22"/>
    <s v="8852.99"/>
    <s v="East"/>
    <x v="0"/>
    <x v="2"/>
    <x v="6"/>
    <x v="322"/>
    <n v="8852.99"/>
    <s v="Nov"/>
    <n v="11"/>
    <x v="322"/>
  </r>
  <r>
    <d v="2022-11-20T00:00:00"/>
    <x v="2"/>
    <s v="11702.92"/>
    <s v="11520.04"/>
    <s v="East"/>
    <x v="2"/>
    <x v="1"/>
    <x v="2"/>
    <x v="323"/>
    <n v="11520.04"/>
    <s v="Nov"/>
    <n v="11"/>
    <x v="323"/>
  </r>
  <r>
    <d v="2022-11-21T00:00:00"/>
    <x v="3"/>
    <s v="15295.93"/>
    <s v="15544.14"/>
    <s v="South"/>
    <x v="3"/>
    <x v="2"/>
    <x v="4"/>
    <x v="324"/>
    <n v="15544.14"/>
    <s v="Nov"/>
    <n v="11"/>
    <x v="324"/>
  </r>
  <r>
    <d v="2022-11-22T00:00:00"/>
    <x v="2"/>
    <s v="4876.87"/>
    <s v="4428.93"/>
    <s v="North"/>
    <x v="0"/>
    <x v="0"/>
    <x v="0"/>
    <x v="325"/>
    <n v="4428.93"/>
    <s v="Nov"/>
    <n v="11"/>
    <x v="325"/>
  </r>
  <r>
    <d v="2022-11-23T00:00:00"/>
    <x v="3"/>
    <s v="27539.55"/>
    <s v="28601.07"/>
    <s v="North"/>
    <x v="0"/>
    <x v="0"/>
    <x v="4"/>
    <x v="326"/>
    <n v="28601.07"/>
    <s v="Nov"/>
    <n v="11"/>
    <x v="326"/>
  </r>
  <r>
    <d v="2022-11-24T00:00:00"/>
    <x v="4"/>
    <s v="7738.16"/>
    <s v="7770.41"/>
    <s v="East"/>
    <x v="2"/>
    <x v="0"/>
    <x v="3"/>
    <x v="327"/>
    <n v="7770.41"/>
    <s v="Nov"/>
    <n v="11"/>
    <x v="327"/>
  </r>
  <r>
    <d v="2022-11-25T00:00:00"/>
    <x v="4"/>
    <s v="10683.96"/>
    <s v="11092.12"/>
    <s v="West"/>
    <x v="2"/>
    <x v="1"/>
    <x v="7"/>
    <x v="328"/>
    <n v="11092.12"/>
    <s v="Nov"/>
    <n v="11"/>
    <x v="328"/>
  </r>
  <r>
    <d v="2022-11-26T00:00:00"/>
    <x v="0"/>
    <s v="8731.55"/>
    <s v="8805.41"/>
    <s v="South"/>
    <x v="1"/>
    <x v="1"/>
    <x v="0"/>
    <x v="329"/>
    <n v="8805.41"/>
    <s v="Nov"/>
    <n v="11"/>
    <x v="329"/>
  </r>
  <r>
    <d v="2022-11-27T00:00:00"/>
    <x v="1"/>
    <s v="-2681.68"/>
    <s v="-2914.83"/>
    <s v="East"/>
    <x v="0"/>
    <x v="0"/>
    <x v="7"/>
    <x v="330"/>
    <n v="-2914.83"/>
    <s v="Nov"/>
    <n v="11"/>
    <x v="330"/>
  </r>
  <r>
    <d v="2022-11-28T00:00:00"/>
    <x v="3"/>
    <s v="14168.17"/>
    <s v="15516.72"/>
    <s v="West"/>
    <x v="2"/>
    <x v="0"/>
    <x v="4"/>
    <x v="331"/>
    <n v="15516.72"/>
    <s v="Nov"/>
    <n v="11"/>
    <x v="331"/>
  </r>
  <r>
    <d v="2022-11-29T00:00:00"/>
    <x v="3"/>
    <s v="-695.07"/>
    <s v="-657.67"/>
    <s v="East"/>
    <x v="0"/>
    <x v="0"/>
    <x v="0"/>
    <x v="332"/>
    <n v="-657.67"/>
    <s v="Nov"/>
    <n v="11"/>
    <x v="332"/>
  </r>
  <r>
    <d v="2022-11-30T00:00:00"/>
    <x v="0"/>
    <s v="9235.93"/>
    <s v="9014.04"/>
    <s v="South"/>
    <x v="0"/>
    <x v="0"/>
    <x v="2"/>
    <x v="333"/>
    <n v="9014.0400000000009"/>
    <s v="Nov"/>
    <n v="11"/>
    <x v="333"/>
  </r>
  <r>
    <d v="2022-12-01T00:00:00"/>
    <x v="1"/>
    <s v="7351.81"/>
    <s v="7967.55"/>
    <s v="East"/>
    <x v="2"/>
    <x v="1"/>
    <x v="2"/>
    <x v="334"/>
    <n v="7967.55"/>
    <s v="Dec"/>
    <n v="12"/>
    <x v="334"/>
  </r>
  <r>
    <d v="2022-12-02T00:00:00"/>
    <x v="1"/>
    <s v="-648.53"/>
    <s v="-727.51"/>
    <s v="North"/>
    <x v="3"/>
    <x v="1"/>
    <x v="2"/>
    <x v="335"/>
    <n v="-727.51"/>
    <s v="Dec"/>
    <n v="12"/>
    <x v="335"/>
  </r>
  <r>
    <d v="2022-12-03T00:00:00"/>
    <x v="2"/>
    <s v="-5062.96"/>
    <s v="-5630.07"/>
    <s v="West"/>
    <x v="0"/>
    <x v="0"/>
    <x v="3"/>
    <x v="336"/>
    <n v="-5630.07"/>
    <s v="Dec"/>
    <n v="12"/>
    <x v="336"/>
  </r>
  <r>
    <d v="2022-12-04T00:00:00"/>
    <x v="1"/>
    <s v="-6001.39"/>
    <s v="-6873.61"/>
    <s v="South"/>
    <x v="0"/>
    <x v="0"/>
    <x v="4"/>
    <x v="337"/>
    <n v="-6873.61"/>
    <s v="Dec"/>
    <n v="12"/>
    <x v="337"/>
  </r>
  <r>
    <d v="2022-12-05T00:00:00"/>
    <x v="0"/>
    <s v="2476.66"/>
    <s v="2702.67"/>
    <s v="West"/>
    <x v="2"/>
    <x v="2"/>
    <x v="3"/>
    <x v="338"/>
    <n v="2702.67"/>
    <s v="Dec"/>
    <n v="12"/>
    <x v="338"/>
  </r>
  <r>
    <d v="2022-12-06T00:00:00"/>
    <x v="4"/>
    <s v="11330.01"/>
    <s v="9683.29"/>
    <s v="South"/>
    <x v="0"/>
    <x v="1"/>
    <x v="5"/>
    <x v="339"/>
    <n v="9683.2900000000009"/>
    <s v="Dec"/>
    <n v="12"/>
    <x v="339"/>
  </r>
  <r>
    <d v="2022-12-07T00:00:00"/>
    <x v="3"/>
    <s v="-3282.89"/>
    <s v="-3644.11"/>
    <s v="South"/>
    <x v="1"/>
    <x v="2"/>
    <x v="5"/>
    <x v="340"/>
    <n v="-3644.11"/>
    <s v="Dec"/>
    <n v="12"/>
    <x v="340"/>
  </r>
  <r>
    <d v="2022-12-08T00:00:00"/>
    <x v="0"/>
    <s v="9194.99"/>
    <s v="8188.8"/>
    <s v="South"/>
    <x v="2"/>
    <x v="1"/>
    <x v="0"/>
    <x v="341"/>
    <n v="8188.8"/>
    <s v="Dec"/>
    <n v="12"/>
    <x v="341"/>
  </r>
  <r>
    <d v="2022-12-09T00:00:00"/>
    <x v="1"/>
    <s v="7975.64"/>
    <s v="8099.83"/>
    <s v="South"/>
    <x v="0"/>
    <x v="2"/>
    <x v="6"/>
    <x v="342"/>
    <n v="8099.83"/>
    <s v="Dec"/>
    <n v="12"/>
    <x v="342"/>
  </r>
  <r>
    <d v="2022-12-10T00:00:00"/>
    <x v="4"/>
    <s v="11618.88"/>
    <s v="11651.35"/>
    <s v="East"/>
    <x v="0"/>
    <x v="1"/>
    <x v="5"/>
    <x v="343"/>
    <n v="11651.35"/>
    <s v="Dec"/>
    <n v="12"/>
    <x v="343"/>
  </r>
  <r>
    <d v="2022-12-11T00:00:00"/>
    <x v="1"/>
    <s v="15573.74"/>
    <s v="16865.24"/>
    <s v="West"/>
    <x v="0"/>
    <x v="1"/>
    <x v="6"/>
    <x v="344"/>
    <n v="16865.240000000002"/>
    <s v="Dec"/>
    <n v="12"/>
    <x v="344"/>
  </r>
  <r>
    <d v="2022-12-12T00:00:00"/>
    <x v="0"/>
    <s v="652.8"/>
    <s v="706.48"/>
    <s v="West"/>
    <x v="2"/>
    <x v="1"/>
    <x v="6"/>
    <x v="345"/>
    <n v="706.48"/>
    <s v="Dec"/>
    <n v="12"/>
    <x v="345"/>
  </r>
  <r>
    <d v="2022-12-13T00:00:00"/>
    <x v="0"/>
    <s v="2650.16"/>
    <s v="2686.99"/>
    <s v="North"/>
    <x v="1"/>
    <x v="1"/>
    <x v="2"/>
    <x v="346"/>
    <n v="2686.99"/>
    <s v="Dec"/>
    <n v="12"/>
    <x v="346"/>
  </r>
  <r>
    <d v="2022-12-14T00:00:00"/>
    <x v="0"/>
    <s v="-5299.58"/>
    <s v="-5153.06"/>
    <s v="East"/>
    <x v="0"/>
    <x v="2"/>
    <x v="1"/>
    <x v="347"/>
    <n v="-5153.0600000000004"/>
    <s v="Dec"/>
    <n v="12"/>
    <x v="347"/>
  </r>
  <r>
    <d v="2022-12-15T00:00:00"/>
    <x v="1"/>
    <s v="10654.47"/>
    <s v="11562.4"/>
    <s v="West"/>
    <x v="1"/>
    <x v="0"/>
    <x v="1"/>
    <x v="348"/>
    <n v="11562.4"/>
    <s v="Dec"/>
    <n v="12"/>
    <x v="348"/>
  </r>
  <r>
    <d v="2022-12-16T00:00:00"/>
    <x v="1"/>
    <s v="10179.5"/>
    <s v="9615.63"/>
    <s v="South"/>
    <x v="1"/>
    <x v="1"/>
    <x v="2"/>
    <x v="349"/>
    <n v="9615.6299999999992"/>
    <s v="Dec"/>
    <n v="12"/>
    <x v="349"/>
  </r>
  <r>
    <d v="2022-12-17T00:00:00"/>
    <x v="4"/>
    <s v="19741.33"/>
    <s v="18353.18"/>
    <s v="South"/>
    <x v="0"/>
    <x v="2"/>
    <x v="2"/>
    <x v="350"/>
    <n v="18353.18"/>
    <s v="Dec"/>
    <n v="12"/>
    <x v="350"/>
  </r>
  <r>
    <d v="2022-12-18T00:00:00"/>
    <x v="4"/>
    <s v="11895.46"/>
    <s v="11065.88"/>
    <s v="West"/>
    <x v="3"/>
    <x v="2"/>
    <x v="0"/>
    <x v="351"/>
    <n v="11065.88"/>
    <s v="Dec"/>
    <n v="12"/>
    <x v="351"/>
  </r>
  <r>
    <d v="2022-12-19T00:00:00"/>
    <x v="2"/>
    <s v="9612.27"/>
    <s v="8976.99"/>
    <s v="East"/>
    <x v="0"/>
    <x v="2"/>
    <x v="4"/>
    <x v="352"/>
    <n v="8976.99"/>
    <s v="Dec"/>
    <n v="12"/>
    <x v="352"/>
  </r>
  <r>
    <d v="2022-12-20T00:00:00"/>
    <x v="1"/>
    <s v="14319.28"/>
    <s v="13905.4"/>
    <s v="East"/>
    <x v="0"/>
    <x v="2"/>
    <x v="3"/>
    <x v="353"/>
    <n v="13905.4"/>
    <s v="Dec"/>
    <n v="12"/>
    <x v="353"/>
  </r>
  <r>
    <d v="2022-12-21T00:00:00"/>
    <x v="1"/>
    <s v="4942.99"/>
    <s v="4803.26"/>
    <s v="East"/>
    <x v="3"/>
    <x v="1"/>
    <x v="6"/>
    <x v="354"/>
    <n v="4803.26"/>
    <s v="Dec"/>
    <n v="12"/>
    <x v="354"/>
  </r>
  <r>
    <d v="2022-12-22T00:00:00"/>
    <x v="0"/>
    <s v="-2848.61"/>
    <s v="-2940.88"/>
    <s v="North"/>
    <x v="3"/>
    <x v="2"/>
    <x v="6"/>
    <x v="355"/>
    <n v="-2940.88"/>
    <s v="Dec"/>
    <n v="12"/>
    <x v="355"/>
  </r>
  <r>
    <d v="2022-12-23T00:00:00"/>
    <x v="1"/>
    <s v="5832.86"/>
    <s v="6583.52"/>
    <s v="South"/>
    <x v="2"/>
    <x v="2"/>
    <x v="4"/>
    <x v="356"/>
    <n v="6583.52"/>
    <s v="Dec"/>
    <n v="12"/>
    <x v="356"/>
  </r>
  <r>
    <d v="2022-12-24T00:00:00"/>
    <x v="4"/>
    <s v="2483.8"/>
    <s v="2690.93"/>
    <s v="South"/>
    <x v="0"/>
    <x v="0"/>
    <x v="0"/>
    <x v="357"/>
    <n v="2690.93"/>
    <s v="Dec"/>
    <n v="12"/>
    <x v="357"/>
  </r>
  <r>
    <d v="2022-12-25T00:00:00"/>
    <x v="2"/>
    <s v="846.58"/>
    <s v="838.07"/>
    <s v="West"/>
    <x v="2"/>
    <x v="0"/>
    <x v="3"/>
    <x v="358"/>
    <n v="838.07"/>
    <s v="Dec"/>
    <n v="12"/>
    <x v="358"/>
  </r>
  <r>
    <d v="2022-12-26T00:00:00"/>
    <x v="2"/>
    <s v="-1566.7"/>
    <s v="-1756.4"/>
    <s v="South"/>
    <x v="0"/>
    <x v="1"/>
    <x v="2"/>
    <x v="359"/>
    <n v="-1756.4"/>
    <s v="Dec"/>
    <n v="12"/>
    <x v="359"/>
  </r>
  <r>
    <d v="2022-12-27T00:00:00"/>
    <x v="4"/>
    <s v="12546.94"/>
    <s v="12765.49"/>
    <s v="East"/>
    <x v="2"/>
    <x v="1"/>
    <x v="0"/>
    <x v="360"/>
    <n v="12765.49"/>
    <s v="Dec"/>
    <n v="12"/>
    <x v="360"/>
  </r>
  <r>
    <d v="2022-12-28T00:00:00"/>
    <x v="3"/>
    <s v="930.42"/>
    <s v="804.75"/>
    <s v="South"/>
    <x v="2"/>
    <x v="1"/>
    <x v="4"/>
    <x v="361"/>
    <n v="804.75"/>
    <s v="Dec"/>
    <n v="12"/>
    <x v="361"/>
  </r>
  <r>
    <d v="2022-12-29T00:00:00"/>
    <x v="0"/>
    <s v="17164.73"/>
    <s v="15308.67"/>
    <s v="North"/>
    <x v="2"/>
    <x v="1"/>
    <x v="1"/>
    <x v="362"/>
    <n v="15308.67"/>
    <s v="Dec"/>
    <n v="12"/>
    <x v="362"/>
  </r>
  <r>
    <d v="2022-12-30T00:00:00"/>
    <x v="1"/>
    <s v="7382.32"/>
    <s v="6725.23"/>
    <s v="North"/>
    <x v="3"/>
    <x v="1"/>
    <x v="1"/>
    <x v="363"/>
    <n v="6725.23"/>
    <s v="Dec"/>
    <n v="12"/>
    <x v="363"/>
  </r>
  <r>
    <d v="2022-12-31T00:00:00"/>
    <x v="1"/>
    <s v="11686.98"/>
    <s v="11934.79"/>
    <s v="East"/>
    <x v="1"/>
    <x v="0"/>
    <x v="0"/>
    <x v="364"/>
    <n v="11934.79"/>
    <s v="Dec"/>
    <n v="12"/>
    <x v="364"/>
  </r>
  <r>
    <d v="2023-01-01T00:00:00"/>
    <x v="0"/>
    <s v="-1849.99"/>
    <s v="-1910.52"/>
    <s v="North"/>
    <x v="2"/>
    <x v="0"/>
    <x v="3"/>
    <x v="365"/>
    <n v="-1910.52"/>
    <s v="Jan"/>
    <n v="1"/>
    <x v="365"/>
  </r>
  <r>
    <d v="2023-01-02T00:00:00"/>
    <x v="4"/>
    <s v="20798.95"/>
    <s v="22676.36"/>
    <s v="South"/>
    <x v="0"/>
    <x v="0"/>
    <x v="4"/>
    <x v="366"/>
    <n v="22676.36"/>
    <s v="Jan"/>
    <n v="1"/>
    <x v="366"/>
  </r>
  <r>
    <d v="2023-01-03T00:00:00"/>
    <x v="1"/>
    <s v="2414.47"/>
    <s v="2600.75"/>
    <s v="South"/>
    <x v="3"/>
    <x v="0"/>
    <x v="1"/>
    <x v="367"/>
    <n v="2600.75"/>
    <s v="Jan"/>
    <n v="1"/>
    <x v="367"/>
  </r>
  <r>
    <d v="2023-01-04T00:00:00"/>
    <x v="4"/>
    <s v="13381.13"/>
    <s v="15723.1"/>
    <s v="West"/>
    <x v="0"/>
    <x v="2"/>
    <x v="3"/>
    <x v="368"/>
    <n v="15723.1"/>
    <s v="Jan"/>
    <n v="1"/>
    <x v="368"/>
  </r>
  <r>
    <d v="2023-01-05T00:00:00"/>
    <x v="2"/>
    <s v="5423.37"/>
    <s v="5900.24"/>
    <s v="South"/>
    <x v="1"/>
    <x v="2"/>
    <x v="1"/>
    <x v="369"/>
    <n v="5900.24"/>
    <s v="Jan"/>
    <n v="1"/>
    <x v="369"/>
  </r>
  <r>
    <d v="2023-01-06T00:00:00"/>
    <x v="4"/>
    <s v="10463.89"/>
    <s v="10396.0"/>
    <s v="North"/>
    <x v="1"/>
    <x v="0"/>
    <x v="7"/>
    <x v="370"/>
    <n v="10396"/>
    <s v="Jan"/>
    <n v="1"/>
    <x v="370"/>
  </r>
  <r>
    <d v="2023-01-07T00:00:00"/>
    <x v="4"/>
    <s v="14416.58"/>
    <s v="14983.47"/>
    <s v="South"/>
    <x v="0"/>
    <x v="1"/>
    <x v="5"/>
    <x v="371"/>
    <n v="14983.47"/>
    <s v="Jan"/>
    <n v="1"/>
    <x v="371"/>
  </r>
  <r>
    <d v="2023-01-08T00:00:00"/>
    <x v="4"/>
    <s v="19797.29"/>
    <s v="19597.81"/>
    <s v="East"/>
    <x v="3"/>
    <x v="0"/>
    <x v="2"/>
    <x v="372"/>
    <n v="19597.810000000001"/>
    <s v="Jan"/>
    <n v="1"/>
    <x v="372"/>
  </r>
  <r>
    <d v="2023-01-09T00:00:00"/>
    <x v="1"/>
    <s v="11990.7"/>
    <s v="12992.02"/>
    <s v="North"/>
    <x v="3"/>
    <x v="1"/>
    <x v="2"/>
    <x v="373"/>
    <n v="12992.02"/>
    <s v="Jan"/>
    <n v="1"/>
    <x v="373"/>
  </r>
  <r>
    <d v="2023-01-10T00:00:00"/>
    <x v="2"/>
    <s v="12574.28"/>
    <s v="12529.25"/>
    <s v="South"/>
    <x v="1"/>
    <x v="1"/>
    <x v="5"/>
    <x v="374"/>
    <n v="12529.25"/>
    <s v="Jan"/>
    <n v="1"/>
    <x v="374"/>
  </r>
  <r>
    <d v="2023-01-11T00:00:00"/>
    <x v="2"/>
    <s v="2804.78"/>
    <s v="3123.5"/>
    <s v="South"/>
    <x v="2"/>
    <x v="0"/>
    <x v="5"/>
    <x v="375"/>
    <n v="3123.5"/>
    <s v="Jan"/>
    <n v="1"/>
    <x v="375"/>
  </r>
  <r>
    <d v="2023-01-12T00:00:00"/>
    <x v="3"/>
    <s v="6123.24"/>
    <s v="6177.16"/>
    <s v="North"/>
    <x v="2"/>
    <x v="2"/>
    <x v="0"/>
    <x v="376"/>
    <n v="6177.16"/>
    <s v="Jan"/>
    <n v="1"/>
    <x v="376"/>
  </r>
  <r>
    <d v="2023-01-13T00:00:00"/>
    <x v="3"/>
    <s v="9639.29"/>
    <s v="9413.31"/>
    <s v="East"/>
    <x v="2"/>
    <x v="1"/>
    <x v="5"/>
    <x v="377"/>
    <n v="9413.31"/>
    <s v="Jan"/>
    <n v="1"/>
    <x v="377"/>
  </r>
  <r>
    <d v="2023-01-14T00:00:00"/>
    <x v="2"/>
    <s v="-10913.27"/>
    <s v="-12532.11"/>
    <s v="West"/>
    <x v="2"/>
    <x v="2"/>
    <x v="6"/>
    <x v="378"/>
    <n v="-12532.11"/>
    <s v="Jan"/>
    <n v="1"/>
    <x v="378"/>
  </r>
  <r>
    <d v="2023-01-15T00:00:00"/>
    <x v="2"/>
    <s v="-5227.96"/>
    <s v="-5425.05"/>
    <s v="East"/>
    <x v="3"/>
    <x v="2"/>
    <x v="5"/>
    <x v="379"/>
    <n v="-5425.05"/>
    <s v="Jan"/>
    <n v="1"/>
    <x v="379"/>
  </r>
  <r>
    <d v="2023-01-16T00:00:00"/>
    <x v="1"/>
    <s v="-1010.5"/>
    <s v="-981.03"/>
    <s v="South"/>
    <x v="3"/>
    <x v="2"/>
    <x v="0"/>
    <x v="380"/>
    <n v="-981.03"/>
    <s v="Jan"/>
    <n v="1"/>
    <x v="380"/>
  </r>
  <r>
    <d v="2023-01-17T00:00:00"/>
    <x v="3"/>
    <s v="9000.92"/>
    <s v="9839.08"/>
    <s v="North"/>
    <x v="2"/>
    <x v="0"/>
    <x v="6"/>
    <x v="381"/>
    <n v="9839.08"/>
    <s v="Jan"/>
    <n v="1"/>
    <x v="381"/>
  </r>
  <r>
    <d v="2023-01-18T00:00:00"/>
    <x v="3"/>
    <s v="4542.63"/>
    <s v="4109.22"/>
    <s v="West"/>
    <x v="0"/>
    <x v="0"/>
    <x v="2"/>
    <x v="382"/>
    <n v="4109.22"/>
    <s v="Jan"/>
    <n v="1"/>
    <x v="382"/>
  </r>
  <r>
    <d v="2023-01-19T00:00:00"/>
    <x v="4"/>
    <s v="-3843.52"/>
    <s v="-4439.83"/>
    <s v="East"/>
    <x v="3"/>
    <x v="1"/>
    <x v="0"/>
    <x v="383"/>
    <n v="-4439.83"/>
    <s v="Jan"/>
    <n v="1"/>
    <x v="383"/>
  </r>
  <r>
    <d v="2023-01-20T00:00:00"/>
    <x v="0"/>
    <s v="-5817.79"/>
    <s v="-6209.75"/>
    <s v="North"/>
    <x v="3"/>
    <x v="1"/>
    <x v="1"/>
    <x v="384"/>
    <n v="-6209.75"/>
    <s v="Jan"/>
    <n v="1"/>
    <x v="384"/>
  </r>
  <r>
    <d v="2023-01-21T00:00:00"/>
    <x v="3"/>
    <s v="1545.42"/>
    <s v="1623.34"/>
    <s v="North"/>
    <x v="1"/>
    <x v="2"/>
    <x v="0"/>
    <x v="385"/>
    <n v="1623.34"/>
    <s v="Jan"/>
    <n v="1"/>
    <x v="385"/>
  </r>
  <r>
    <d v="2023-01-22T00:00:00"/>
    <x v="0"/>
    <s v="4346.47"/>
    <s v="4157.68"/>
    <s v="North"/>
    <x v="3"/>
    <x v="0"/>
    <x v="2"/>
    <x v="386"/>
    <n v="4157.68"/>
    <s v="Jan"/>
    <n v="1"/>
    <x v="386"/>
  </r>
  <r>
    <d v="2023-01-23T00:00:00"/>
    <x v="1"/>
    <s v="-4231.97"/>
    <s v="-4053.86"/>
    <s v="North"/>
    <x v="3"/>
    <x v="0"/>
    <x v="1"/>
    <x v="387"/>
    <n v="-4053.86"/>
    <s v="Jan"/>
    <n v="1"/>
    <x v="387"/>
  </r>
  <r>
    <d v="2023-01-24T00:00:00"/>
    <x v="3"/>
    <s v="8693.85"/>
    <s v="7415.0"/>
    <s v="East"/>
    <x v="1"/>
    <x v="2"/>
    <x v="2"/>
    <x v="388"/>
    <n v="7415"/>
    <s v="Jan"/>
    <n v="1"/>
    <x v="388"/>
  </r>
  <r>
    <d v="2023-01-25T00:00:00"/>
    <x v="2"/>
    <s v="6988.9"/>
    <s v="7381.19"/>
    <s v="East"/>
    <x v="0"/>
    <x v="0"/>
    <x v="1"/>
    <x v="389"/>
    <n v="7381.19"/>
    <s v="Jan"/>
    <n v="1"/>
    <x v="389"/>
  </r>
  <r>
    <d v="2023-01-26T00:00:00"/>
    <x v="2"/>
    <s v="10599.73"/>
    <s v="11410.33"/>
    <s v="West"/>
    <x v="0"/>
    <x v="2"/>
    <x v="7"/>
    <x v="390"/>
    <n v="11410.33"/>
    <s v="Jan"/>
    <n v="1"/>
    <x v="390"/>
  </r>
  <r>
    <d v="2023-01-27T00:00:00"/>
    <x v="0"/>
    <s v="2684.53"/>
    <s v="2501.44"/>
    <s v="West"/>
    <x v="1"/>
    <x v="0"/>
    <x v="0"/>
    <x v="391"/>
    <n v="2501.44"/>
    <s v="Jan"/>
    <n v="1"/>
    <x v="391"/>
  </r>
  <r>
    <d v="2023-01-28T00:00:00"/>
    <x v="4"/>
    <s v="18518.69"/>
    <s v="18649.66"/>
    <s v="South"/>
    <x v="1"/>
    <x v="1"/>
    <x v="1"/>
    <x v="392"/>
    <n v="18649.66"/>
    <s v="Jan"/>
    <n v="1"/>
    <x v="392"/>
  </r>
  <r>
    <d v="2023-01-29T00:00:00"/>
    <x v="0"/>
    <s v="9394.02"/>
    <s v="9440.46"/>
    <s v="North"/>
    <x v="3"/>
    <x v="0"/>
    <x v="5"/>
    <x v="393"/>
    <n v="9440.4599999999991"/>
    <s v="Jan"/>
    <n v="1"/>
    <x v="393"/>
  </r>
  <r>
    <d v="2023-01-30T00:00:00"/>
    <x v="1"/>
    <s v="6106.68"/>
    <s v="6345.01"/>
    <s v="South"/>
    <x v="0"/>
    <x v="1"/>
    <x v="3"/>
    <x v="394"/>
    <n v="6345.01"/>
    <s v="Jan"/>
    <n v="1"/>
    <x v="394"/>
  </r>
  <r>
    <d v="2023-01-31T00:00:00"/>
    <x v="3"/>
    <s v="3023.33"/>
    <s v="3012.04"/>
    <s v="North"/>
    <x v="0"/>
    <x v="1"/>
    <x v="3"/>
    <x v="395"/>
    <n v="3012.04"/>
    <s v="Jan"/>
    <n v="1"/>
    <x v="395"/>
  </r>
  <r>
    <d v="2023-02-01T00:00:00"/>
    <x v="4"/>
    <s v="21587.91"/>
    <s v="20486.33"/>
    <s v="North"/>
    <x v="0"/>
    <x v="2"/>
    <x v="3"/>
    <x v="396"/>
    <n v="20486.330000000002"/>
    <s v="Feb"/>
    <n v="2"/>
    <x v="396"/>
  </r>
  <r>
    <d v="2023-02-02T00:00:00"/>
    <x v="2"/>
    <s v="5713.1"/>
    <s v="5419.29"/>
    <s v="West"/>
    <x v="2"/>
    <x v="0"/>
    <x v="6"/>
    <x v="397"/>
    <n v="5419.29"/>
    <s v="Feb"/>
    <n v="2"/>
    <x v="397"/>
  </r>
  <r>
    <d v="2023-02-03T00:00:00"/>
    <x v="2"/>
    <s v="9183.8"/>
    <s v="9149.97"/>
    <s v="North"/>
    <x v="3"/>
    <x v="2"/>
    <x v="3"/>
    <x v="398"/>
    <n v="9149.9699999999993"/>
    <s v="Feb"/>
    <n v="2"/>
    <x v="398"/>
  </r>
  <r>
    <d v="2023-02-04T00:00:00"/>
    <x v="4"/>
    <s v="9587.13"/>
    <s v="9425.3"/>
    <s v="South"/>
    <x v="2"/>
    <x v="1"/>
    <x v="4"/>
    <x v="399"/>
    <n v="9425.2999999999993"/>
    <s v="Feb"/>
    <n v="2"/>
    <x v="399"/>
  </r>
  <r>
    <d v="2023-02-05T00:00:00"/>
    <x v="2"/>
    <s v="8938.98"/>
    <s v="8939.3"/>
    <s v="South"/>
    <x v="0"/>
    <x v="0"/>
    <x v="7"/>
    <x v="400"/>
    <n v="8939.2999999999993"/>
    <s v="Feb"/>
    <n v="2"/>
    <x v="400"/>
  </r>
  <r>
    <d v="2023-02-06T00:00:00"/>
    <x v="4"/>
    <s v="6126.06"/>
    <s v="5827.93"/>
    <s v="South"/>
    <x v="1"/>
    <x v="1"/>
    <x v="2"/>
    <x v="401"/>
    <n v="5827.93"/>
    <s v="Feb"/>
    <n v="2"/>
    <x v="401"/>
  </r>
  <r>
    <d v="2023-02-07T00:00:00"/>
    <x v="3"/>
    <s v="8067.79"/>
    <s v="7994.66"/>
    <s v="South"/>
    <x v="1"/>
    <x v="0"/>
    <x v="3"/>
    <x v="402"/>
    <n v="7994.66"/>
    <s v="Feb"/>
    <n v="2"/>
    <x v="402"/>
  </r>
  <r>
    <d v="2023-02-08T00:00:00"/>
    <x v="2"/>
    <s v="273.09"/>
    <s v="273.44"/>
    <s v="South"/>
    <x v="3"/>
    <x v="1"/>
    <x v="1"/>
    <x v="403"/>
    <n v="273.44"/>
    <s v="Feb"/>
    <n v="2"/>
    <x v="403"/>
  </r>
  <r>
    <d v="2023-02-09T00:00:00"/>
    <x v="2"/>
    <s v="-592.05"/>
    <s v="-675.68"/>
    <s v="West"/>
    <x v="3"/>
    <x v="0"/>
    <x v="6"/>
    <x v="404"/>
    <n v="-675.68"/>
    <s v="Feb"/>
    <n v="2"/>
    <x v="404"/>
  </r>
  <r>
    <d v="2023-02-10T00:00:00"/>
    <x v="1"/>
    <s v="1502.3"/>
    <s v="1315.84"/>
    <s v="East"/>
    <x v="3"/>
    <x v="2"/>
    <x v="4"/>
    <x v="405"/>
    <n v="1315.84"/>
    <s v="Feb"/>
    <n v="2"/>
    <x v="405"/>
  </r>
  <r>
    <d v="2023-02-11T00:00:00"/>
    <x v="1"/>
    <s v="-1146.56"/>
    <s v="-1228.03"/>
    <s v="North"/>
    <x v="1"/>
    <x v="1"/>
    <x v="5"/>
    <x v="406"/>
    <n v="-1228.03"/>
    <s v="Feb"/>
    <n v="2"/>
    <x v="406"/>
  </r>
  <r>
    <d v="2023-02-12T00:00:00"/>
    <x v="0"/>
    <s v="13958.82"/>
    <s v="12350.29"/>
    <s v="East"/>
    <x v="2"/>
    <x v="0"/>
    <x v="4"/>
    <x v="407"/>
    <n v="12350.29"/>
    <s v="Feb"/>
    <n v="2"/>
    <x v="407"/>
  </r>
  <r>
    <d v="2023-02-13T00:00:00"/>
    <x v="1"/>
    <s v="15438.77"/>
    <s v="16374.9"/>
    <s v="East"/>
    <x v="0"/>
    <x v="0"/>
    <x v="5"/>
    <x v="408"/>
    <n v="16374.9"/>
    <s v="Feb"/>
    <n v="2"/>
    <x v="408"/>
  </r>
  <r>
    <d v="2023-02-14T00:00:00"/>
    <x v="4"/>
    <s v="9737.63"/>
    <s v="10350.72"/>
    <s v="East"/>
    <x v="1"/>
    <x v="2"/>
    <x v="4"/>
    <x v="409"/>
    <n v="10350.719999999999"/>
    <s v="Feb"/>
    <n v="2"/>
    <x v="409"/>
  </r>
  <r>
    <d v="2023-02-15T00:00:00"/>
    <x v="4"/>
    <s v="-115.62"/>
    <s v="-124.33"/>
    <s v="East"/>
    <x v="2"/>
    <x v="2"/>
    <x v="3"/>
    <x v="410"/>
    <n v="-124.33"/>
    <s v="Feb"/>
    <n v="2"/>
    <x v="410"/>
  </r>
  <r>
    <d v="2023-02-16T00:00:00"/>
    <x v="3"/>
    <s v="15179.49"/>
    <s v="14473.59"/>
    <s v="East"/>
    <x v="1"/>
    <x v="0"/>
    <x v="4"/>
    <x v="411"/>
    <n v="14473.59"/>
    <s v="Feb"/>
    <n v="2"/>
    <x v="411"/>
  </r>
  <r>
    <d v="2023-02-17T00:00:00"/>
    <x v="1"/>
    <s v="9863.62"/>
    <s v="11188.35"/>
    <s v="West"/>
    <x v="3"/>
    <x v="0"/>
    <x v="2"/>
    <x v="412"/>
    <n v="11188.35"/>
    <s v="Feb"/>
    <n v="2"/>
    <x v="412"/>
  </r>
  <r>
    <d v="2023-02-18T00:00:00"/>
    <x v="4"/>
    <s v="5348.94"/>
    <s v="6018.41"/>
    <s v="North"/>
    <x v="2"/>
    <x v="1"/>
    <x v="4"/>
    <x v="413"/>
    <n v="6018.41"/>
    <s v="Feb"/>
    <n v="2"/>
    <x v="413"/>
  </r>
  <r>
    <d v="2023-02-19T00:00:00"/>
    <x v="1"/>
    <s v="14571.0"/>
    <s v="14583.76"/>
    <s v="North"/>
    <x v="2"/>
    <x v="2"/>
    <x v="3"/>
    <x v="414"/>
    <n v="14583.76"/>
    <s v="Feb"/>
    <n v="2"/>
    <x v="414"/>
  </r>
  <r>
    <d v="2023-02-20T00:00:00"/>
    <x v="1"/>
    <s v="6722.33"/>
    <s v="6219.17"/>
    <s v="East"/>
    <x v="1"/>
    <x v="0"/>
    <x v="6"/>
    <x v="415"/>
    <n v="6219.17"/>
    <s v="Feb"/>
    <n v="2"/>
    <x v="415"/>
  </r>
  <r>
    <d v="2023-02-21T00:00:00"/>
    <x v="1"/>
    <s v="7270.63"/>
    <s v="6205.29"/>
    <s v="East"/>
    <x v="0"/>
    <x v="1"/>
    <x v="0"/>
    <x v="416"/>
    <n v="6205.29"/>
    <s v="Feb"/>
    <n v="2"/>
    <x v="416"/>
  </r>
  <r>
    <d v="2023-02-22T00:00:00"/>
    <x v="2"/>
    <s v="2074.87"/>
    <s v="2112.75"/>
    <s v="West"/>
    <x v="3"/>
    <x v="2"/>
    <x v="1"/>
    <x v="417"/>
    <n v="2112.75"/>
    <s v="Feb"/>
    <n v="2"/>
    <x v="417"/>
  </r>
  <r>
    <d v="2023-02-23T00:00:00"/>
    <x v="0"/>
    <s v="3111.6"/>
    <s v="3639.48"/>
    <s v="North"/>
    <x v="1"/>
    <x v="2"/>
    <x v="0"/>
    <x v="418"/>
    <n v="3639.48"/>
    <s v="Feb"/>
    <n v="2"/>
    <x v="418"/>
  </r>
  <r>
    <d v="2023-02-24T00:00:00"/>
    <x v="3"/>
    <s v="6083.26"/>
    <s v="6068.36"/>
    <s v="East"/>
    <x v="1"/>
    <x v="1"/>
    <x v="4"/>
    <x v="419"/>
    <n v="6068.36"/>
    <s v="Feb"/>
    <n v="2"/>
    <x v="419"/>
  </r>
  <r>
    <d v="2023-02-25T00:00:00"/>
    <x v="1"/>
    <s v="14490.0"/>
    <s v="15259.22"/>
    <s v="North"/>
    <x v="1"/>
    <x v="0"/>
    <x v="2"/>
    <x v="420"/>
    <n v="15259.22"/>
    <s v="Feb"/>
    <n v="2"/>
    <x v="420"/>
  </r>
  <r>
    <d v="2023-02-26T00:00:00"/>
    <x v="2"/>
    <s v="1214.39"/>
    <s v="1383.55"/>
    <s v="North"/>
    <x v="2"/>
    <x v="2"/>
    <x v="0"/>
    <x v="421"/>
    <n v="1383.55"/>
    <s v="Feb"/>
    <n v="2"/>
    <x v="421"/>
  </r>
  <r>
    <d v="2023-02-27T00:00:00"/>
    <x v="4"/>
    <s v="6916.36"/>
    <s v="7839.9"/>
    <s v="South"/>
    <x v="2"/>
    <x v="2"/>
    <x v="4"/>
    <x v="422"/>
    <n v="7839.9"/>
    <s v="Feb"/>
    <n v="2"/>
    <x v="422"/>
  </r>
  <r>
    <d v="2023-02-28T00:00:00"/>
    <x v="1"/>
    <s v="-3720.67"/>
    <s v="-3886.5"/>
    <s v="East"/>
    <x v="1"/>
    <x v="2"/>
    <x v="3"/>
    <x v="423"/>
    <n v="-3886.5"/>
    <s v="Feb"/>
    <n v="2"/>
    <x v="423"/>
  </r>
  <r>
    <d v="2023-03-01T00:00:00"/>
    <x v="0"/>
    <s v="5189.94"/>
    <s v="5983.81"/>
    <s v="East"/>
    <x v="3"/>
    <x v="1"/>
    <x v="6"/>
    <x v="424"/>
    <n v="5983.81"/>
    <s v="Mar"/>
    <n v="3"/>
    <x v="424"/>
  </r>
  <r>
    <d v="2023-03-02T00:00:00"/>
    <x v="0"/>
    <s v="11959.05"/>
    <s v="11732.31"/>
    <s v="South"/>
    <x v="0"/>
    <x v="1"/>
    <x v="6"/>
    <x v="425"/>
    <n v="11732.31"/>
    <s v="Mar"/>
    <n v="3"/>
    <x v="425"/>
  </r>
  <r>
    <d v="2023-03-03T00:00:00"/>
    <x v="2"/>
    <s v="5308.95"/>
    <s v="5630.21"/>
    <s v="West"/>
    <x v="1"/>
    <x v="1"/>
    <x v="3"/>
    <x v="426"/>
    <n v="5630.21"/>
    <s v="Mar"/>
    <n v="3"/>
    <x v="426"/>
  </r>
  <r>
    <d v="2023-03-04T00:00:00"/>
    <x v="1"/>
    <s v="10710.38"/>
    <s v="9788.1"/>
    <s v="East"/>
    <x v="2"/>
    <x v="0"/>
    <x v="3"/>
    <x v="427"/>
    <n v="9788.1"/>
    <s v="Mar"/>
    <n v="3"/>
    <x v="427"/>
  </r>
  <r>
    <d v="2023-03-05T00:00:00"/>
    <x v="2"/>
    <s v="2102.73"/>
    <s v="1897.21"/>
    <s v="South"/>
    <x v="3"/>
    <x v="0"/>
    <x v="4"/>
    <x v="428"/>
    <n v="1897.21"/>
    <s v="Mar"/>
    <n v="3"/>
    <x v="428"/>
  </r>
  <r>
    <d v="2023-03-06T00:00:00"/>
    <x v="2"/>
    <s v="8796.84"/>
    <s v="8989.3"/>
    <s v="North"/>
    <x v="0"/>
    <x v="2"/>
    <x v="2"/>
    <x v="429"/>
    <n v="8989.2999999999993"/>
    <s v="Mar"/>
    <n v="3"/>
    <x v="429"/>
  </r>
  <r>
    <d v="2023-03-07T00:00:00"/>
    <x v="3"/>
    <s v="-474.31"/>
    <s v="-486.98"/>
    <s v="South"/>
    <x v="3"/>
    <x v="1"/>
    <x v="4"/>
    <x v="430"/>
    <n v="-486.98"/>
    <s v="Mar"/>
    <n v="3"/>
    <x v="430"/>
  </r>
  <r>
    <d v="2023-03-08T00:00:00"/>
    <x v="2"/>
    <s v="7671.36"/>
    <s v="8376.45"/>
    <s v="North"/>
    <x v="3"/>
    <x v="2"/>
    <x v="2"/>
    <x v="431"/>
    <n v="8376.4500000000007"/>
    <s v="Mar"/>
    <n v="3"/>
    <x v="431"/>
  </r>
  <r>
    <d v="2023-03-09T00:00:00"/>
    <x v="2"/>
    <s v="6905.53"/>
    <s v="5894.86"/>
    <s v="East"/>
    <x v="0"/>
    <x v="1"/>
    <x v="5"/>
    <x v="432"/>
    <n v="5894.86"/>
    <s v="Mar"/>
    <n v="3"/>
    <x v="432"/>
  </r>
  <r>
    <d v="2023-03-10T00:00:00"/>
    <x v="1"/>
    <s v="9856.28"/>
    <s v="9691.4"/>
    <s v="East"/>
    <x v="1"/>
    <x v="2"/>
    <x v="1"/>
    <x v="433"/>
    <n v="9691.4"/>
    <s v="Mar"/>
    <n v="3"/>
    <x v="433"/>
  </r>
  <r>
    <d v="2023-03-11T00:00:00"/>
    <x v="0"/>
    <s v="12107.29"/>
    <s v="11168.15"/>
    <s v="East"/>
    <x v="2"/>
    <x v="1"/>
    <x v="3"/>
    <x v="434"/>
    <n v="11168.15"/>
    <s v="Mar"/>
    <n v="3"/>
    <x v="434"/>
  </r>
  <r>
    <d v="2023-03-12T00:00:00"/>
    <x v="1"/>
    <s v="6477.18"/>
    <s v="6244.68"/>
    <s v="South"/>
    <x v="2"/>
    <x v="2"/>
    <x v="5"/>
    <x v="435"/>
    <n v="6244.68"/>
    <s v="Mar"/>
    <n v="3"/>
    <x v="435"/>
  </r>
  <r>
    <d v="2023-03-13T00:00:00"/>
    <x v="3"/>
    <s v="6256.75"/>
    <s v="6080.65"/>
    <s v="North"/>
    <x v="1"/>
    <x v="2"/>
    <x v="2"/>
    <x v="436"/>
    <n v="6080.65"/>
    <s v="Mar"/>
    <n v="3"/>
    <x v="436"/>
  </r>
  <r>
    <d v="2023-03-14T00:00:00"/>
    <x v="1"/>
    <s v="10391.12"/>
    <s v="10821.54"/>
    <s v="South"/>
    <x v="2"/>
    <x v="2"/>
    <x v="0"/>
    <x v="437"/>
    <n v="10821.54"/>
    <s v="Mar"/>
    <n v="3"/>
    <x v="437"/>
  </r>
  <r>
    <d v="2023-03-15T00:00:00"/>
    <x v="0"/>
    <s v="14688.1"/>
    <s v="12280.58"/>
    <s v="North"/>
    <x v="2"/>
    <x v="2"/>
    <x v="3"/>
    <x v="438"/>
    <n v="12280.58"/>
    <s v="Mar"/>
    <n v="3"/>
    <x v="438"/>
  </r>
  <r>
    <d v="2023-03-16T00:00:00"/>
    <x v="4"/>
    <s v="7805.51"/>
    <s v="7395.83"/>
    <s v="South"/>
    <x v="3"/>
    <x v="2"/>
    <x v="2"/>
    <x v="439"/>
    <n v="7395.83"/>
    <s v="Mar"/>
    <n v="3"/>
    <x v="439"/>
  </r>
  <r>
    <d v="2023-03-17T00:00:00"/>
    <x v="2"/>
    <s v="1645.12"/>
    <s v="1701.03"/>
    <s v="West"/>
    <x v="1"/>
    <x v="2"/>
    <x v="7"/>
    <x v="440"/>
    <n v="1701.03"/>
    <s v="Mar"/>
    <n v="3"/>
    <x v="440"/>
  </r>
  <r>
    <d v="2023-03-18T00:00:00"/>
    <x v="0"/>
    <s v="10486.3"/>
    <s v="10625.92"/>
    <s v="South"/>
    <x v="2"/>
    <x v="0"/>
    <x v="0"/>
    <x v="441"/>
    <n v="10625.92"/>
    <s v="Mar"/>
    <n v="3"/>
    <x v="441"/>
  </r>
  <r>
    <d v="2023-03-19T00:00:00"/>
    <x v="2"/>
    <s v="18617.71"/>
    <s v="19535.3"/>
    <s v="South"/>
    <x v="3"/>
    <x v="1"/>
    <x v="1"/>
    <x v="442"/>
    <n v="19535.3"/>
    <s v="Mar"/>
    <n v="3"/>
    <x v="442"/>
  </r>
  <r>
    <d v="2023-03-20T00:00:00"/>
    <x v="1"/>
    <s v="1968.18"/>
    <s v="2065.31"/>
    <s v="East"/>
    <x v="2"/>
    <x v="2"/>
    <x v="4"/>
    <x v="443"/>
    <n v="2065.31"/>
    <s v="Mar"/>
    <n v="3"/>
    <x v="443"/>
  </r>
  <r>
    <d v="2023-03-21T00:00:00"/>
    <x v="3"/>
    <s v="3941.17"/>
    <s v="3784.07"/>
    <s v="West"/>
    <x v="3"/>
    <x v="1"/>
    <x v="5"/>
    <x v="444"/>
    <n v="3784.07"/>
    <s v="Mar"/>
    <n v="3"/>
    <x v="444"/>
  </r>
  <r>
    <d v="2023-03-22T00:00:00"/>
    <x v="0"/>
    <s v="8222.35"/>
    <s v="8229.15"/>
    <s v="East"/>
    <x v="1"/>
    <x v="2"/>
    <x v="0"/>
    <x v="445"/>
    <n v="8229.15"/>
    <s v="Mar"/>
    <n v="3"/>
    <x v="445"/>
  </r>
  <r>
    <d v="2023-03-23T00:00:00"/>
    <x v="2"/>
    <s v="13014.77"/>
    <s v="14764.34"/>
    <s v="East"/>
    <x v="1"/>
    <x v="2"/>
    <x v="2"/>
    <x v="446"/>
    <n v="14764.34"/>
    <s v="Mar"/>
    <n v="3"/>
    <x v="446"/>
  </r>
  <r>
    <d v="2023-03-24T00:00:00"/>
    <x v="2"/>
    <s v="12135.64"/>
    <s v="11455.92"/>
    <s v="South"/>
    <x v="2"/>
    <x v="0"/>
    <x v="2"/>
    <x v="447"/>
    <n v="11455.92"/>
    <s v="Mar"/>
    <n v="3"/>
    <x v="447"/>
  </r>
  <r>
    <d v="2023-03-25T00:00:00"/>
    <x v="1"/>
    <s v="18490.9"/>
    <s v="20725.89"/>
    <s v="North"/>
    <x v="0"/>
    <x v="1"/>
    <x v="7"/>
    <x v="448"/>
    <n v="20725.89"/>
    <s v="Mar"/>
    <n v="3"/>
    <x v="448"/>
  </r>
  <r>
    <d v="2023-03-26T00:00:00"/>
    <x v="2"/>
    <s v="781.09"/>
    <s v="681.66"/>
    <s v="South"/>
    <x v="1"/>
    <x v="1"/>
    <x v="4"/>
    <x v="449"/>
    <n v="681.66"/>
    <s v="Mar"/>
    <n v="3"/>
    <x v="449"/>
  </r>
  <r>
    <d v="2023-03-27T00:00:00"/>
    <x v="2"/>
    <s v="13113.19"/>
    <s v="14496.89"/>
    <s v="North"/>
    <x v="0"/>
    <x v="2"/>
    <x v="0"/>
    <x v="450"/>
    <n v="14496.89"/>
    <s v="Mar"/>
    <n v="3"/>
    <x v="450"/>
  </r>
  <r>
    <d v="2023-03-28T00:00:00"/>
    <x v="4"/>
    <s v="4177.72"/>
    <s v="4253.55"/>
    <s v="North"/>
    <x v="2"/>
    <x v="1"/>
    <x v="3"/>
    <x v="451"/>
    <n v="4253.55"/>
    <s v="Mar"/>
    <n v="3"/>
    <x v="451"/>
  </r>
  <r>
    <d v="2023-03-29T00:00:00"/>
    <x v="4"/>
    <s v="7331.14"/>
    <s v="7931.51"/>
    <s v="South"/>
    <x v="2"/>
    <x v="1"/>
    <x v="6"/>
    <x v="452"/>
    <n v="7931.51"/>
    <s v="Mar"/>
    <n v="3"/>
    <x v="452"/>
  </r>
  <r>
    <d v="2023-03-30T00:00:00"/>
    <x v="2"/>
    <s v="-1374.53"/>
    <s v="-1370.82"/>
    <s v="South"/>
    <x v="0"/>
    <x v="1"/>
    <x v="5"/>
    <x v="453"/>
    <n v="-1370.82"/>
    <s v="Mar"/>
    <n v="3"/>
    <x v="453"/>
  </r>
  <r>
    <d v="2023-03-31T00:00:00"/>
    <x v="2"/>
    <s v="6359.94"/>
    <s v="5706.57"/>
    <s v="North"/>
    <x v="1"/>
    <x v="2"/>
    <x v="5"/>
    <x v="454"/>
    <n v="5706.57"/>
    <s v="Mar"/>
    <n v="3"/>
    <x v="454"/>
  </r>
  <r>
    <d v="2023-04-01T00:00:00"/>
    <x v="0"/>
    <s v="6952.85"/>
    <s v="7335.45"/>
    <s v="West"/>
    <x v="1"/>
    <x v="2"/>
    <x v="1"/>
    <x v="455"/>
    <n v="7335.45"/>
    <s v="Apr"/>
    <n v="4"/>
    <x v="455"/>
  </r>
  <r>
    <d v="2023-04-02T00:00:00"/>
    <x v="4"/>
    <s v="1549.8"/>
    <s v="1398.29"/>
    <s v="East"/>
    <x v="3"/>
    <x v="2"/>
    <x v="5"/>
    <x v="456"/>
    <n v="1398.29"/>
    <s v="Apr"/>
    <n v="4"/>
    <x v="456"/>
  </r>
  <r>
    <d v="2023-04-03T00:00:00"/>
    <x v="4"/>
    <s v="15456.09"/>
    <s v="17629.79"/>
    <s v="South"/>
    <x v="1"/>
    <x v="1"/>
    <x v="0"/>
    <x v="457"/>
    <n v="17629.79"/>
    <s v="Apr"/>
    <n v="4"/>
    <x v="457"/>
  </r>
  <r>
    <d v="2023-04-04T00:00:00"/>
    <x v="0"/>
    <s v="13650.55"/>
    <s v="13512.44"/>
    <s v="East"/>
    <x v="0"/>
    <x v="2"/>
    <x v="0"/>
    <x v="458"/>
    <n v="13512.44"/>
    <s v="Apr"/>
    <n v="4"/>
    <x v="458"/>
  </r>
  <r>
    <d v="2023-04-05T00:00:00"/>
    <x v="0"/>
    <s v="9412.19"/>
    <s v="8742.12"/>
    <s v="North"/>
    <x v="2"/>
    <x v="2"/>
    <x v="7"/>
    <x v="459"/>
    <n v="8742.1200000000008"/>
    <s v="Apr"/>
    <n v="4"/>
    <x v="459"/>
  </r>
  <r>
    <d v="2023-04-06T00:00:00"/>
    <x v="4"/>
    <s v="9412.53"/>
    <s v="9390.66"/>
    <s v="North"/>
    <x v="1"/>
    <x v="0"/>
    <x v="6"/>
    <x v="460"/>
    <n v="9390.66"/>
    <s v="Apr"/>
    <n v="4"/>
    <x v="460"/>
  </r>
  <r>
    <d v="2023-04-07T00:00:00"/>
    <x v="2"/>
    <s v="16383.61"/>
    <s v="16285.8"/>
    <s v="East"/>
    <x v="3"/>
    <x v="0"/>
    <x v="7"/>
    <x v="461"/>
    <n v="16285.8"/>
    <s v="Apr"/>
    <n v="4"/>
    <x v="461"/>
  </r>
  <r>
    <d v="2023-04-08T00:00:00"/>
    <x v="4"/>
    <s v="5188.89"/>
    <s v="5326.01"/>
    <s v="North"/>
    <x v="2"/>
    <x v="1"/>
    <x v="5"/>
    <x v="462"/>
    <n v="5326.01"/>
    <s v="Apr"/>
    <n v="4"/>
    <x v="462"/>
  </r>
  <r>
    <d v="2023-04-09T00:00:00"/>
    <x v="0"/>
    <s v="1353.41"/>
    <s v="1227.49"/>
    <s v="South"/>
    <x v="2"/>
    <x v="0"/>
    <x v="7"/>
    <x v="463"/>
    <n v="1227.49"/>
    <s v="Apr"/>
    <n v="4"/>
    <x v="463"/>
  </r>
  <r>
    <d v="2023-04-10T00:00:00"/>
    <x v="1"/>
    <s v="-2205.24"/>
    <s v="-2550.71"/>
    <s v="North"/>
    <x v="2"/>
    <x v="2"/>
    <x v="7"/>
    <x v="464"/>
    <n v="-2550.71"/>
    <s v="Apr"/>
    <n v="4"/>
    <x v="464"/>
  </r>
  <r>
    <d v="2023-04-11T00:00:00"/>
    <x v="2"/>
    <s v="927.03"/>
    <s v="948.11"/>
    <s v="South"/>
    <x v="1"/>
    <x v="2"/>
    <x v="7"/>
    <x v="465"/>
    <n v="948.11"/>
    <s v="Apr"/>
    <n v="4"/>
    <x v="465"/>
  </r>
  <r>
    <d v="2023-04-12T00:00:00"/>
    <x v="2"/>
    <s v="4365.65"/>
    <s v="4764.52"/>
    <s v="South"/>
    <x v="2"/>
    <x v="1"/>
    <x v="0"/>
    <x v="466"/>
    <n v="4764.5200000000004"/>
    <s v="Apr"/>
    <n v="4"/>
    <x v="466"/>
  </r>
  <r>
    <d v="2023-04-13T00:00:00"/>
    <x v="0"/>
    <s v="506.58"/>
    <s v="520.02"/>
    <s v="North"/>
    <x v="2"/>
    <x v="0"/>
    <x v="5"/>
    <x v="467"/>
    <n v="520.02"/>
    <s v="Apr"/>
    <n v="4"/>
    <x v="467"/>
  </r>
  <r>
    <d v="2023-04-14T00:00:00"/>
    <x v="0"/>
    <s v="10003.26"/>
    <s v="10686.44"/>
    <s v="West"/>
    <x v="3"/>
    <x v="2"/>
    <x v="0"/>
    <x v="468"/>
    <n v="10686.44"/>
    <s v="Apr"/>
    <n v="4"/>
    <x v="468"/>
  </r>
  <r>
    <d v="2023-04-15T00:00:00"/>
    <x v="2"/>
    <s v="2546.9"/>
    <s v="2290.48"/>
    <s v="South"/>
    <x v="1"/>
    <x v="0"/>
    <x v="0"/>
    <x v="469"/>
    <n v="2290.48"/>
    <s v="Apr"/>
    <n v="4"/>
    <x v="469"/>
  </r>
  <r>
    <d v="2023-04-16T00:00:00"/>
    <x v="4"/>
    <s v="8086.01"/>
    <s v="8960.55"/>
    <s v="East"/>
    <x v="0"/>
    <x v="0"/>
    <x v="5"/>
    <x v="470"/>
    <n v="8960.5499999999993"/>
    <s v="Apr"/>
    <n v="4"/>
    <x v="470"/>
  </r>
  <r>
    <d v="2023-04-17T00:00:00"/>
    <x v="0"/>
    <s v="10339.49"/>
    <s v="11095.37"/>
    <s v="North"/>
    <x v="2"/>
    <x v="0"/>
    <x v="0"/>
    <x v="471"/>
    <n v="11095.37"/>
    <s v="Apr"/>
    <n v="4"/>
    <x v="471"/>
  </r>
  <r>
    <d v="2023-04-18T00:00:00"/>
    <x v="3"/>
    <s v="6396.08"/>
    <s v="7083.26"/>
    <s v="South"/>
    <x v="3"/>
    <x v="0"/>
    <x v="4"/>
    <x v="472"/>
    <n v="7083.26"/>
    <s v="Apr"/>
    <n v="4"/>
    <x v="472"/>
  </r>
  <r>
    <d v="2023-04-19T00:00:00"/>
    <x v="4"/>
    <s v="12745.43"/>
    <s v="13212.11"/>
    <s v="West"/>
    <x v="1"/>
    <x v="0"/>
    <x v="1"/>
    <x v="473"/>
    <n v="13212.11"/>
    <s v="Apr"/>
    <n v="4"/>
    <x v="473"/>
  </r>
  <r>
    <d v="2023-04-20T00:00:00"/>
    <x v="0"/>
    <s v="13229.76"/>
    <s v="13985.33"/>
    <s v="North"/>
    <x v="2"/>
    <x v="2"/>
    <x v="0"/>
    <x v="474"/>
    <n v="13985.33"/>
    <s v="Apr"/>
    <n v="4"/>
    <x v="474"/>
  </r>
  <r>
    <d v="2023-04-21T00:00:00"/>
    <x v="2"/>
    <s v="-1635.83"/>
    <s v="-1490.68"/>
    <s v="East"/>
    <x v="2"/>
    <x v="0"/>
    <x v="5"/>
    <x v="475"/>
    <n v="-1490.68"/>
    <s v="Apr"/>
    <n v="4"/>
    <x v="475"/>
  </r>
  <r>
    <d v="2023-04-22T00:00:00"/>
    <x v="0"/>
    <s v="24684.96"/>
    <s v="25302.11"/>
    <s v="East"/>
    <x v="3"/>
    <x v="2"/>
    <x v="3"/>
    <x v="476"/>
    <n v="25302.11"/>
    <s v="Apr"/>
    <n v="4"/>
    <x v="476"/>
  </r>
  <r>
    <d v="2023-04-23T00:00:00"/>
    <x v="4"/>
    <s v="9213.72"/>
    <s v="10031.44"/>
    <s v="South"/>
    <x v="2"/>
    <x v="1"/>
    <x v="1"/>
    <x v="477"/>
    <n v="10031.44"/>
    <s v="Apr"/>
    <n v="4"/>
    <x v="477"/>
  </r>
  <r>
    <d v="2023-04-24T00:00:00"/>
    <x v="3"/>
    <s v="22826.23"/>
    <s v="19217.46"/>
    <s v="West"/>
    <x v="1"/>
    <x v="0"/>
    <x v="0"/>
    <x v="478"/>
    <n v="19217.46"/>
    <s v="Apr"/>
    <n v="4"/>
    <x v="478"/>
  </r>
  <r>
    <d v="2023-04-25T00:00:00"/>
    <x v="2"/>
    <s v="10208.37"/>
    <s v="10796.14"/>
    <s v="West"/>
    <x v="3"/>
    <x v="2"/>
    <x v="3"/>
    <x v="479"/>
    <n v="10796.14"/>
    <s v="Apr"/>
    <n v="4"/>
    <x v="479"/>
  </r>
  <r>
    <d v="2023-04-26T00:00:00"/>
    <x v="0"/>
    <s v="17737.24"/>
    <s v="16652.74"/>
    <s v="East"/>
    <x v="3"/>
    <x v="1"/>
    <x v="2"/>
    <x v="480"/>
    <n v="16652.740000000002"/>
    <s v="Apr"/>
    <n v="4"/>
    <x v="480"/>
  </r>
  <r>
    <d v="2023-04-27T00:00:00"/>
    <x v="0"/>
    <s v="6877.16"/>
    <s v="7242.22"/>
    <s v="North"/>
    <x v="1"/>
    <x v="2"/>
    <x v="0"/>
    <x v="481"/>
    <n v="7242.22"/>
    <s v="Apr"/>
    <n v="4"/>
    <x v="481"/>
  </r>
  <r>
    <d v="2023-04-28T00:00:00"/>
    <x v="0"/>
    <s v="16838.55"/>
    <s v="17571.34"/>
    <s v="East"/>
    <x v="1"/>
    <x v="0"/>
    <x v="1"/>
    <x v="482"/>
    <n v="17571.34"/>
    <s v="Apr"/>
    <n v="4"/>
    <x v="482"/>
  </r>
  <r>
    <d v="2023-04-29T00:00:00"/>
    <x v="0"/>
    <s v="2105.5"/>
    <s v="2423.22"/>
    <s v="North"/>
    <x v="3"/>
    <x v="2"/>
    <x v="1"/>
    <x v="483"/>
    <n v="2423.2199999999998"/>
    <s v="Apr"/>
    <n v="4"/>
    <x v="483"/>
  </r>
  <r>
    <d v="2023-04-30T00:00:00"/>
    <x v="4"/>
    <s v="4931.74"/>
    <s v="5522.59"/>
    <s v="North"/>
    <x v="1"/>
    <x v="1"/>
    <x v="0"/>
    <x v="484"/>
    <n v="5522.59"/>
    <s v="Apr"/>
    <n v="4"/>
    <x v="484"/>
  </r>
  <r>
    <d v="2023-05-01T00:00:00"/>
    <x v="2"/>
    <s v="-7898.78"/>
    <s v="-7784.98"/>
    <s v="North"/>
    <x v="2"/>
    <x v="2"/>
    <x v="6"/>
    <x v="485"/>
    <n v="-7784.98"/>
    <s v="May"/>
    <n v="5"/>
    <x v="485"/>
  </r>
  <r>
    <d v="2023-05-02T00:00:00"/>
    <x v="0"/>
    <s v="6952.25"/>
    <s v="7354.76"/>
    <s v="East"/>
    <x v="0"/>
    <x v="1"/>
    <x v="4"/>
    <x v="486"/>
    <n v="7354.76"/>
    <s v="May"/>
    <n v="5"/>
    <x v="486"/>
  </r>
  <r>
    <d v="2023-05-03T00:00:00"/>
    <x v="0"/>
    <s v="2194.15"/>
    <s v="2181.62"/>
    <s v="South"/>
    <x v="3"/>
    <x v="1"/>
    <x v="6"/>
    <x v="487"/>
    <n v="2181.62"/>
    <s v="May"/>
    <n v="5"/>
    <x v="487"/>
  </r>
  <r>
    <d v="2023-05-04T00:00:00"/>
    <x v="1"/>
    <s v="17049.21"/>
    <s v="17561.97"/>
    <s v="North"/>
    <x v="1"/>
    <x v="1"/>
    <x v="3"/>
    <x v="488"/>
    <n v="17561.97"/>
    <s v="May"/>
    <n v="5"/>
    <x v="488"/>
  </r>
  <r>
    <d v="2023-05-05T00:00:00"/>
    <x v="4"/>
    <s v="10781.02"/>
    <s v="10696.75"/>
    <s v="East"/>
    <x v="2"/>
    <x v="1"/>
    <x v="7"/>
    <x v="489"/>
    <n v="10696.75"/>
    <s v="May"/>
    <n v="5"/>
    <x v="489"/>
  </r>
  <r>
    <d v="2023-05-06T00:00:00"/>
    <x v="4"/>
    <s v="3893.39"/>
    <s v="4169.33"/>
    <s v="West"/>
    <x v="0"/>
    <x v="2"/>
    <x v="0"/>
    <x v="490"/>
    <n v="4169.33"/>
    <s v="May"/>
    <n v="5"/>
    <x v="490"/>
  </r>
  <r>
    <d v="2023-05-07T00:00:00"/>
    <x v="2"/>
    <s v="-271.53"/>
    <s v="-263.9"/>
    <s v="West"/>
    <x v="0"/>
    <x v="0"/>
    <x v="2"/>
    <x v="491"/>
    <n v="-263.89999999999998"/>
    <s v="May"/>
    <n v="5"/>
    <x v="491"/>
  </r>
  <r>
    <d v="2023-05-08T00:00:00"/>
    <x v="0"/>
    <s v="224.4"/>
    <s v="220.94"/>
    <s v="East"/>
    <x v="2"/>
    <x v="0"/>
    <x v="1"/>
    <x v="492"/>
    <n v="220.94"/>
    <s v="May"/>
    <n v="5"/>
    <x v="492"/>
  </r>
  <r>
    <d v="2023-05-09T00:00:00"/>
    <x v="4"/>
    <s v="429.83"/>
    <s v="425.17"/>
    <s v="North"/>
    <x v="0"/>
    <x v="1"/>
    <x v="6"/>
    <x v="493"/>
    <n v="425.17"/>
    <s v="May"/>
    <n v="5"/>
    <x v="493"/>
  </r>
  <r>
    <d v="2023-05-10T00:00:00"/>
    <x v="4"/>
    <s v="7601.99"/>
    <s v="8033.12"/>
    <s v="North"/>
    <x v="3"/>
    <x v="1"/>
    <x v="5"/>
    <x v="494"/>
    <n v="8033.12"/>
    <s v="May"/>
    <n v="5"/>
    <x v="494"/>
  </r>
  <r>
    <d v="2023-05-11T00:00:00"/>
    <x v="3"/>
    <s v="16805.55"/>
    <s v="17562.23"/>
    <s v="East"/>
    <x v="0"/>
    <x v="1"/>
    <x v="1"/>
    <x v="495"/>
    <n v="17562.23"/>
    <s v="May"/>
    <n v="5"/>
    <x v="495"/>
  </r>
  <r>
    <d v="2023-05-12T00:00:00"/>
    <x v="3"/>
    <s v="11220.44"/>
    <s v="10907.03"/>
    <s v="East"/>
    <x v="3"/>
    <x v="0"/>
    <x v="6"/>
    <x v="496"/>
    <n v="10907.03"/>
    <s v="May"/>
    <n v="5"/>
    <x v="496"/>
  </r>
  <r>
    <d v="2023-05-13T00:00:00"/>
    <x v="3"/>
    <s v="13791.57"/>
    <s v="12734.4"/>
    <s v="East"/>
    <x v="0"/>
    <x v="0"/>
    <x v="3"/>
    <x v="497"/>
    <n v="12734.4"/>
    <s v="May"/>
    <n v="5"/>
    <x v="497"/>
  </r>
  <r>
    <d v="2023-05-14T00:00:00"/>
    <x v="1"/>
    <s v="6139.57"/>
    <s v="5990.37"/>
    <s v="South"/>
    <x v="3"/>
    <x v="2"/>
    <x v="4"/>
    <x v="498"/>
    <n v="5990.37"/>
    <s v="May"/>
    <n v="5"/>
    <x v="498"/>
  </r>
  <r>
    <d v="2023-05-15T00:00:00"/>
    <x v="1"/>
    <s v="-1807.3"/>
    <s v="-1730.37"/>
    <s v="North"/>
    <x v="3"/>
    <x v="1"/>
    <x v="6"/>
    <x v="499"/>
    <n v="-1730.37"/>
    <s v="May"/>
    <n v="5"/>
    <x v="499"/>
  </r>
  <r>
    <d v="2023-05-16T00:00:00"/>
    <x v="0"/>
    <s v="14351.48"/>
    <s v="14112.57"/>
    <s v="North"/>
    <x v="2"/>
    <x v="1"/>
    <x v="1"/>
    <x v="500"/>
    <n v="14112.57"/>
    <s v="May"/>
    <n v="5"/>
    <x v="500"/>
  </r>
  <r>
    <d v="2023-05-17T00:00:00"/>
    <x v="2"/>
    <s v="14741.38"/>
    <s v="15200.9"/>
    <s v="East"/>
    <x v="0"/>
    <x v="0"/>
    <x v="5"/>
    <x v="501"/>
    <n v="15200.9"/>
    <s v="May"/>
    <n v="5"/>
    <x v="501"/>
  </r>
  <r>
    <d v="2023-05-18T00:00:00"/>
    <x v="4"/>
    <s v="-6563.4"/>
    <s v="-6724.76"/>
    <s v="North"/>
    <x v="2"/>
    <x v="2"/>
    <x v="7"/>
    <x v="502"/>
    <n v="-6724.76"/>
    <s v="May"/>
    <n v="5"/>
    <x v="502"/>
  </r>
  <r>
    <d v="2023-05-19T00:00:00"/>
    <x v="1"/>
    <s v="-409.48"/>
    <s v="-430.67"/>
    <s v="South"/>
    <x v="3"/>
    <x v="0"/>
    <x v="3"/>
    <x v="503"/>
    <n v="-430.67"/>
    <s v="May"/>
    <n v="5"/>
    <x v="503"/>
  </r>
  <r>
    <d v="2023-05-20T00:00:00"/>
    <x v="2"/>
    <s v="-2862.49"/>
    <s v="-2941.37"/>
    <s v="South"/>
    <x v="2"/>
    <x v="1"/>
    <x v="0"/>
    <x v="504"/>
    <n v="-2941.37"/>
    <s v="May"/>
    <n v="5"/>
    <x v="504"/>
  </r>
  <r>
    <d v="2023-05-21T00:00:00"/>
    <x v="3"/>
    <s v="16268.55"/>
    <s v="17892.36"/>
    <s v="East"/>
    <x v="2"/>
    <x v="0"/>
    <x v="4"/>
    <x v="505"/>
    <n v="17892.36"/>
    <s v="May"/>
    <n v="5"/>
    <x v="505"/>
  </r>
  <r>
    <d v="2023-05-22T00:00:00"/>
    <x v="0"/>
    <s v="-2565.89"/>
    <s v="-2580.48"/>
    <s v="West"/>
    <x v="1"/>
    <x v="1"/>
    <x v="6"/>
    <x v="506"/>
    <n v="-2580.48"/>
    <s v="May"/>
    <n v="5"/>
    <x v="506"/>
  </r>
  <r>
    <d v="2023-05-23T00:00:00"/>
    <x v="0"/>
    <s v="17197.07"/>
    <s v="20073.91"/>
    <s v="South"/>
    <x v="2"/>
    <x v="2"/>
    <x v="0"/>
    <x v="507"/>
    <n v="20073.91"/>
    <s v="May"/>
    <n v="5"/>
    <x v="507"/>
  </r>
  <r>
    <d v="2023-05-24T00:00:00"/>
    <x v="4"/>
    <s v="13171.62"/>
    <s v="13113.39"/>
    <s v="East"/>
    <x v="3"/>
    <x v="1"/>
    <x v="6"/>
    <x v="508"/>
    <n v="13113.39"/>
    <s v="May"/>
    <n v="5"/>
    <x v="508"/>
  </r>
  <r>
    <d v="2023-05-25T00:00:00"/>
    <x v="0"/>
    <s v="7069.34"/>
    <s v="6973.83"/>
    <s v="East"/>
    <x v="0"/>
    <x v="2"/>
    <x v="7"/>
    <x v="509"/>
    <n v="6973.83"/>
    <s v="May"/>
    <n v="5"/>
    <x v="509"/>
  </r>
  <r>
    <d v="2023-05-26T00:00:00"/>
    <x v="3"/>
    <s v="4228.6"/>
    <s v="4383.25"/>
    <s v="South"/>
    <x v="3"/>
    <x v="2"/>
    <x v="1"/>
    <x v="510"/>
    <n v="4383.25"/>
    <s v="May"/>
    <n v="5"/>
    <x v="510"/>
  </r>
  <r>
    <d v="2023-05-27T00:00:00"/>
    <x v="0"/>
    <s v="-2623.99"/>
    <s v="-2347.19"/>
    <s v="South"/>
    <x v="0"/>
    <x v="1"/>
    <x v="4"/>
    <x v="511"/>
    <n v="-2347.19"/>
    <s v="May"/>
    <n v="5"/>
    <x v="511"/>
  </r>
  <r>
    <d v="2023-05-28T00:00:00"/>
    <x v="4"/>
    <s v="7915.76"/>
    <s v="9017.36"/>
    <s v="West"/>
    <x v="3"/>
    <x v="0"/>
    <x v="2"/>
    <x v="512"/>
    <n v="9017.36"/>
    <s v="May"/>
    <n v="5"/>
    <x v="512"/>
  </r>
  <r>
    <d v="2023-05-29T00:00:00"/>
    <x v="0"/>
    <s v="15486.8"/>
    <s v="17147.23"/>
    <s v="South"/>
    <x v="3"/>
    <x v="0"/>
    <x v="7"/>
    <x v="513"/>
    <n v="17147.23"/>
    <s v="May"/>
    <n v="5"/>
    <x v="513"/>
  </r>
  <r>
    <d v="2023-05-30T00:00:00"/>
    <x v="0"/>
    <s v="7733.68"/>
    <s v="7616.41"/>
    <s v="West"/>
    <x v="1"/>
    <x v="0"/>
    <x v="5"/>
    <x v="514"/>
    <n v="7616.41"/>
    <s v="May"/>
    <n v="5"/>
    <x v="514"/>
  </r>
  <r>
    <d v="2023-05-31T00:00:00"/>
    <x v="4"/>
    <s v="523.72"/>
    <s v="511.99"/>
    <s v="North"/>
    <x v="0"/>
    <x v="1"/>
    <x v="6"/>
    <x v="515"/>
    <n v="511.99"/>
    <s v="May"/>
    <n v="5"/>
    <x v="515"/>
  </r>
  <r>
    <d v="2023-06-01T00:00:00"/>
    <x v="4"/>
    <s v="15570.89"/>
    <s v="17780.85"/>
    <s v="North"/>
    <x v="2"/>
    <x v="1"/>
    <x v="3"/>
    <x v="516"/>
    <n v="17780.849999999999"/>
    <s v="Jun"/>
    <n v="6"/>
    <x v="516"/>
  </r>
  <r>
    <d v="2023-06-02T00:00:00"/>
    <x v="0"/>
    <s v="2656.83"/>
    <s v="3087.8"/>
    <s v="West"/>
    <x v="0"/>
    <x v="0"/>
    <x v="3"/>
    <x v="517"/>
    <n v="3087.8"/>
    <s v="Jun"/>
    <n v="6"/>
    <x v="517"/>
  </r>
  <r>
    <d v="2023-06-03T00:00:00"/>
    <x v="3"/>
    <s v="16716.6"/>
    <s v="15668.2"/>
    <s v="South"/>
    <x v="0"/>
    <x v="0"/>
    <x v="5"/>
    <x v="518"/>
    <n v="15668.2"/>
    <s v="Jun"/>
    <n v="6"/>
    <x v="518"/>
  </r>
  <r>
    <d v="2023-06-04T00:00:00"/>
    <x v="2"/>
    <s v="10475.1"/>
    <s v="11255.78"/>
    <s v="North"/>
    <x v="3"/>
    <x v="0"/>
    <x v="7"/>
    <x v="519"/>
    <n v="11255.78"/>
    <s v="Jun"/>
    <n v="6"/>
    <x v="519"/>
  </r>
  <r>
    <d v="2023-06-05T00:00:00"/>
    <x v="0"/>
    <s v="6030.52"/>
    <s v="5926.3"/>
    <s v="West"/>
    <x v="2"/>
    <x v="1"/>
    <x v="7"/>
    <x v="520"/>
    <n v="5926.3"/>
    <s v="Jun"/>
    <n v="6"/>
    <x v="520"/>
  </r>
  <r>
    <d v="2023-06-06T00:00:00"/>
    <x v="2"/>
    <s v="-436.86"/>
    <s v="-430.41"/>
    <s v="North"/>
    <x v="0"/>
    <x v="0"/>
    <x v="4"/>
    <x v="521"/>
    <n v="-430.41"/>
    <s v="Jun"/>
    <n v="6"/>
    <x v="521"/>
  </r>
  <r>
    <d v="2023-06-07T00:00:00"/>
    <x v="1"/>
    <s v="4324.27"/>
    <s v="4025.36"/>
    <s v="North"/>
    <x v="3"/>
    <x v="0"/>
    <x v="4"/>
    <x v="522"/>
    <n v="4025.36"/>
    <s v="Jun"/>
    <n v="6"/>
    <x v="522"/>
  </r>
  <r>
    <d v="2023-06-08T00:00:00"/>
    <x v="0"/>
    <s v="1185.21"/>
    <s v="1346.71"/>
    <s v="West"/>
    <x v="0"/>
    <x v="2"/>
    <x v="2"/>
    <x v="523"/>
    <n v="1346.71"/>
    <s v="Jun"/>
    <n v="6"/>
    <x v="523"/>
  </r>
  <r>
    <d v="2023-06-09T00:00:00"/>
    <x v="2"/>
    <s v="24781.74"/>
    <s v="27785.5"/>
    <s v="West"/>
    <x v="1"/>
    <x v="2"/>
    <x v="2"/>
    <x v="524"/>
    <n v="27785.5"/>
    <s v="Jun"/>
    <n v="6"/>
    <x v="524"/>
  </r>
  <r>
    <d v="2023-06-10T00:00:00"/>
    <x v="1"/>
    <s v="14303.57"/>
    <s v="14399.68"/>
    <s v="East"/>
    <x v="0"/>
    <x v="0"/>
    <x v="1"/>
    <x v="525"/>
    <n v="14399.68"/>
    <s v="Jun"/>
    <n v="6"/>
    <x v="525"/>
  </r>
  <r>
    <d v="2023-06-11T00:00:00"/>
    <x v="0"/>
    <s v="7366.77"/>
    <s v="7806.86"/>
    <s v="North"/>
    <x v="2"/>
    <x v="0"/>
    <x v="3"/>
    <x v="526"/>
    <n v="7806.86"/>
    <s v="Jun"/>
    <n v="6"/>
    <x v="526"/>
  </r>
  <r>
    <d v="2023-06-12T00:00:00"/>
    <x v="0"/>
    <s v="7634.95"/>
    <s v="7789.79"/>
    <s v="West"/>
    <x v="2"/>
    <x v="1"/>
    <x v="3"/>
    <x v="527"/>
    <n v="7789.79"/>
    <s v="Jun"/>
    <n v="6"/>
    <x v="527"/>
  </r>
  <r>
    <d v="2023-06-13T00:00:00"/>
    <x v="1"/>
    <s v="10811.49"/>
    <s v="10381.64"/>
    <s v="South"/>
    <x v="2"/>
    <x v="1"/>
    <x v="5"/>
    <x v="528"/>
    <n v="10381.64"/>
    <s v="Jun"/>
    <n v="6"/>
    <x v="528"/>
  </r>
  <r>
    <d v="2023-06-14T00:00:00"/>
    <x v="3"/>
    <s v="18512.05"/>
    <s v="18758.98"/>
    <s v="South"/>
    <x v="1"/>
    <x v="0"/>
    <x v="7"/>
    <x v="529"/>
    <n v="18758.98"/>
    <s v="Jun"/>
    <n v="6"/>
    <x v="529"/>
  </r>
  <r>
    <d v="2023-06-15T00:00:00"/>
    <x v="0"/>
    <s v="2419.76"/>
    <s v="2779.6"/>
    <s v="East"/>
    <x v="0"/>
    <x v="2"/>
    <x v="0"/>
    <x v="530"/>
    <n v="2779.6"/>
    <s v="Jun"/>
    <n v="6"/>
    <x v="530"/>
  </r>
  <r>
    <d v="2023-06-16T00:00:00"/>
    <x v="1"/>
    <s v="10849.92"/>
    <s v="12677.07"/>
    <s v="North"/>
    <x v="0"/>
    <x v="0"/>
    <x v="2"/>
    <x v="531"/>
    <n v="12677.07"/>
    <s v="Jun"/>
    <n v="6"/>
    <x v="531"/>
  </r>
  <r>
    <d v="2023-06-17T00:00:00"/>
    <x v="3"/>
    <s v="8779.56"/>
    <s v="8702.75"/>
    <s v="North"/>
    <x v="0"/>
    <x v="1"/>
    <x v="7"/>
    <x v="532"/>
    <n v="8702.75"/>
    <s v="Jun"/>
    <n v="6"/>
    <x v="532"/>
  </r>
  <r>
    <d v="2023-06-18T00:00:00"/>
    <x v="4"/>
    <s v="7283.53"/>
    <s v="8020.14"/>
    <s v="North"/>
    <x v="3"/>
    <x v="1"/>
    <x v="5"/>
    <x v="533"/>
    <n v="8020.14"/>
    <s v="Jun"/>
    <n v="6"/>
    <x v="533"/>
  </r>
  <r>
    <d v="2023-06-19T00:00:00"/>
    <x v="1"/>
    <s v="13627.73"/>
    <s v="13300.64"/>
    <s v="South"/>
    <x v="1"/>
    <x v="2"/>
    <x v="2"/>
    <x v="534"/>
    <n v="13300.64"/>
    <s v="Jun"/>
    <n v="6"/>
    <x v="534"/>
  </r>
  <r>
    <d v="2023-06-20T00:00:00"/>
    <x v="4"/>
    <s v="13584.1"/>
    <s v="15610.79"/>
    <s v="East"/>
    <x v="0"/>
    <x v="0"/>
    <x v="5"/>
    <x v="535"/>
    <n v="15610.79"/>
    <s v="Jun"/>
    <n v="6"/>
    <x v="535"/>
  </r>
  <r>
    <d v="2023-06-21T00:00:00"/>
    <x v="0"/>
    <s v="15755.4"/>
    <s v="17490.21"/>
    <s v="West"/>
    <x v="3"/>
    <x v="2"/>
    <x v="7"/>
    <x v="536"/>
    <n v="17490.21"/>
    <s v="Jun"/>
    <n v="6"/>
    <x v="536"/>
  </r>
  <r>
    <d v="2023-06-22T00:00:00"/>
    <x v="1"/>
    <s v="-367.85"/>
    <s v="-367.28"/>
    <s v="East"/>
    <x v="0"/>
    <x v="2"/>
    <x v="3"/>
    <x v="537"/>
    <n v="-367.28"/>
    <s v="Jun"/>
    <n v="6"/>
    <x v="537"/>
  </r>
  <r>
    <d v="2023-06-23T00:00:00"/>
    <x v="4"/>
    <s v="-505.58"/>
    <s v="-524.34"/>
    <s v="South"/>
    <x v="0"/>
    <x v="2"/>
    <x v="7"/>
    <x v="538"/>
    <n v="-524.34"/>
    <s v="Jun"/>
    <n v="6"/>
    <x v="538"/>
  </r>
  <r>
    <d v="2023-06-24T00:00:00"/>
    <x v="4"/>
    <s v="-2455.82"/>
    <s v="-2263.03"/>
    <s v="South"/>
    <x v="2"/>
    <x v="0"/>
    <x v="4"/>
    <x v="539"/>
    <n v="-2263.0300000000002"/>
    <s v="Jun"/>
    <n v="6"/>
    <x v="539"/>
  </r>
  <r>
    <d v="2023-06-25T00:00:00"/>
    <x v="3"/>
    <s v="6653.38"/>
    <s v="6381.58"/>
    <s v="East"/>
    <x v="2"/>
    <x v="0"/>
    <x v="0"/>
    <x v="540"/>
    <n v="6381.58"/>
    <s v="Jun"/>
    <n v="6"/>
    <x v="540"/>
  </r>
  <r>
    <d v="2023-06-26T00:00:00"/>
    <x v="3"/>
    <s v="16739.36"/>
    <s v="17671.62"/>
    <s v="North"/>
    <x v="0"/>
    <x v="0"/>
    <x v="5"/>
    <x v="541"/>
    <n v="17671.62"/>
    <s v="Jun"/>
    <n v="6"/>
    <x v="541"/>
  </r>
  <r>
    <d v="2023-06-27T00:00:00"/>
    <x v="0"/>
    <s v="13019.15"/>
    <s v="12729.9"/>
    <s v="East"/>
    <x v="0"/>
    <x v="1"/>
    <x v="5"/>
    <x v="542"/>
    <n v="12729.9"/>
    <s v="Jun"/>
    <n v="6"/>
    <x v="542"/>
  </r>
  <r>
    <d v="2023-06-28T00:00:00"/>
    <x v="4"/>
    <s v="15950.84"/>
    <s v="12947.02"/>
    <s v="West"/>
    <x v="3"/>
    <x v="0"/>
    <x v="5"/>
    <x v="543"/>
    <n v="12947.02"/>
    <s v="Jun"/>
    <n v="6"/>
    <x v="543"/>
  </r>
  <r>
    <d v="2023-06-29T00:00:00"/>
    <x v="4"/>
    <s v="10355.96"/>
    <s v="10798.35"/>
    <s v="South"/>
    <x v="0"/>
    <x v="0"/>
    <x v="2"/>
    <x v="544"/>
    <n v="10798.35"/>
    <s v="Jun"/>
    <n v="6"/>
    <x v="544"/>
  </r>
  <r>
    <d v="2023-06-30T00:00:00"/>
    <x v="2"/>
    <s v="17121.66"/>
    <s v="16091.17"/>
    <s v="North"/>
    <x v="2"/>
    <x v="2"/>
    <x v="6"/>
    <x v="545"/>
    <n v="16091.17"/>
    <s v="Jun"/>
    <n v="6"/>
    <x v="545"/>
  </r>
  <r>
    <d v="2023-07-01T00:00:00"/>
    <x v="0"/>
    <s v="15503.05"/>
    <s v="13110.16"/>
    <s v="South"/>
    <x v="2"/>
    <x v="1"/>
    <x v="1"/>
    <x v="546"/>
    <n v="13110.16"/>
    <s v="Jul"/>
    <n v="7"/>
    <x v="546"/>
  </r>
  <r>
    <d v="2023-07-02T00:00:00"/>
    <x v="3"/>
    <s v="13406.36"/>
    <s v="12154.81"/>
    <s v="West"/>
    <x v="2"/>
    <x v="0"/>
    <x v="1"/>
    <x v="547"/>
    <n v="12154.81"/>
    <s v="Jul"/>
    <n v="7"/>
    <x v="547"/>
  </r>
  <r>
    <d v="2023-07-03T00:00:00"/>
    <x v="0"/>
    <s v="-5.36"/>
    <s v="-4.38"/>
    <s v="North"/>
    <x v="1"/>
    <x v="0"/>
    <x v="7"/>
    <x v="548"/>
    <n v="-4.38"/>
    <s v="Jul"/>
    <n v="7"/>
    <x v="548"/>
  </r>
  <r>
    <d v="2023-07-04T00:00:00"/>
    <x v="1"/>
    <s v="-5162.89"/>
    <s v="-4688.43"/>
    <s v="East"/>
    <x v="3"/>
    <x v="1"/>
    <x v="2"/>
    <x v="549"/>
    <n v="-4688.43"/>
    <s v="Jul"/>
    <n v="7"/>
    <x v="549"/>
  </r>
  <r>
    <d v="2023-07-05T00:00:00"/>
    <x v="2"/>
    <s v="693.01"/>
    <s v="673.5"/>
    <s v="East"/>
    <x v="2"/>
    <x v="1"/>
    <x v="5"/>
    <x v="550"/>
    <n v="673.5"/>
    <s v="Jul"/>
    <n v="7"/>
    <x v="550"/>
  </r>
  <r>
    <d v="2023-07-06T00:00:00"/>
    <x v="2"/>
    <s v="3838.19"/>
    <s v="3288.4"/>
    <s v="North"/>
    <x v="3"/>
    <x v="0"/>
    <x v="0"/>
    <x v="551"/>
    <n v="3288.4"/>
    <s v="Jul"/>
    <n v="7"/>
    <x v="551"/>
  </r>
  <r>
    <d v="2023-07-07T00:00:00"/>
    <x v="2"/>
    <s v="-3588.39"/>
    <s v="-3853.13"/>
    <s v="North"/>
    <x v="1"/>
    <x v="1"/>
    <x v="1"/>
    <x v="552"/>
    <n v="-3853.13"/>
    <s v="Jul"/>
    <n v="7"/>
    <x v="552"/>
  </r>
  <r>
    <d v="2023-07-08T00:00:00"/>
    <x v="0"/>
    <s v="12618.0"/>
    <s v="12824.76"/>
    <s v="South"/>
    <x v="2"/>
    <x v="0"/>
    <x v="1"/>
    <x v="553"/>
    <n v="12824.76"/>
    <s v="Jul"/>
    <n v="7"/>
    <x v="553"/>
  </r>
  <r>
    <d v="2023-07-09T00:00:00"/>
    <x v="3"/>
    <s v="10763.15"/>
    <s v="10138.8"/>
    <s v="East"/>
    <x v="2"/>
    <x v="0"/>
    <x v="4"/>
    <x v="554"/>
    <n v="10138.799999999999"/>
    <s v="Jul"/>
    <n v="7"/>
    <x v="554"/>
  </r>
  <r>
    <d v="2023-07-10T00:00:00"/>
    <x v="3"/>
    <s v="15669.09"/>
    <s v="15024.76"/>
    <s v="North"/>
    <x v="3"/>
    <x v="0"/>
    <x v="2"/>
    <x v="555"/>
    <n v="15024.76"/>
    <s v="Jul"/>
    <n v="7"/>
    <x v="555"/>
  </r>
  <r>
    <d v="2023-07-11T00:00:00"/>
    <x v="4"/>
    <s v="17054.37"/>
    <s v="17263.99"/>
    <s v="North"/>
    <x v="0"/>
    <x v="1"/>
    <x v="0"/>
    <x v="556"/>
    <n v="17263.990000000002"/>
    <s v="Jul"/>
    <n v="7"/>
    <x v="556"/>
  </r>
  <r>
    <d v="2023-07-12T00:00:00"/>
    <x v="1"/>
    <s v="8667.87"/>
    <s v="9490.18"/>
    <s v="South"/>
    <x v="3"/>
    <x v="2"/>
    <x v="0"/>
    <x v="557"/>
    <n v="9490.18"/>
    <s v="Jul"/>
    <n v="7"/>
    <x v="557"/>
  </r>
  <r>
    <d v="2023-07-13T00:00:00"/>
    <x v="1"/>
    <s v="5184.66"/>
    <s v="5010.13"/>
    <s v="North"/>
    <x v="3"/>
    <x v="2"/>
    <x v="5"/>
    <x v="558"/>
    <n v="5010.13"/>
    <s v="Jul"/>
    <n v="7"/>
    <x v="558"/>
  </r>
  <r>
    <d v="2023-07-14T00:00:00"/>
    <x v="3"/>
    <s v="3850.06"/>
    <s v="3886.03"/>
    <s v="West"/>
    <x v="0"/>
    <x v="0"/>
    <x v="2"/>
    <x v="559"/>
    <n v="3886.03"/>
    <s v="Jul"/>
    <n v="7"/>
    <x v="559"/>
  </r>
  <r>
    <d v="2023-07-15T00:00:00"/>
    <x v="2"/>
    <s v="-1738.51"/>
    <s v="-1736.13"/>
    <s v="West"/>
    <x v="3"/>
    <x v="2"/>
    <x v="7"/>
    <x v="560"/>
    <n v="-1736.13"/>
    <s v="Jul"/>
    <n v="7"/>
    <x v="560"/>
  </r>
  <r>
    <d v="2023-07-16T00:00:00"/>
    <x v="1"/>
    <s v="17600.0"/>
    <s v="16479.13"/>
    <s v="East"/>
    <x v="1"/>
    <x v="1"/>
    <x v="7"/>
    <x v="561"/>
    <n v="16479.13"/>
    <s v="Jul"/>
    <n v="7"/>
    <x v="561"/>
  </r>
  <r>
    <d v="2023-07-17T00:00:00"/>
    <x v="2"/>
    <s v="1668.88"/>
    <s v="1588.07"/>
    <s v="East"/>
    <x v="2"/>
    <x v="2"/>
    <x v="3"/>
    <x v="562"/>
    <n v="1588.07"/>
    <s v="Jul"/>
    <n v="7"/>
    <x v="562"/>
  </r>
  <r>
    <d v="2023-07-18T00:00:00"/>
    <x v="4"/>
    <s v="5868.76"/>
    <s v="6631.71"/>
    <s v="East"/>
    <x v="1"/>
    <x v="0"/>
    <x v="3"/>
    <x v="563"/>
    <n v="6631.71"/>
    <s v="Jul"/>
    <n v="7"/>
    <x v="563"/>
  </r>
  <r>
    <d v="2023-07-19T00:00:00"/>
    <x v="2"/>
    <s v="20645.61"/>
    <s v="20508.01"/>
    <s v="West"/>
    <x v="2"/>
    <x v="2"/>
    <x v="2"/>
    <x v="564"/>
    <n v="20508.009999999998"/>
    <s v="Jul"/>
    <n v="7"/>
    <x v="564"/>
  </r>
  <r>
    <d v="2023-07-20T00:00:00"/>
    <x v="2"/>
    <s v="-1963.31"/>
    <s v="-1932.08"/>
    <s v="East"/>
    <x v="2"/>
    <x v="0"/>
    <x v="6"/>
    <x v="565"/>
    <n v="-1932.08"/>
    <s v="Jul"/>
    <n v="7"/>
    <x v="565"/>
  </r>
  <r>
    <d v="2023-07-21T00:00:00"/>
    <x v="2"/>
    <s v="-5927.99"/>
    <s v="-5522.51"/>
    <s v="South"/>
    <x v="1"/>
    <x v="0"/>
    <x v="2"/>
    <x v="566"/>
    <n v="-5522.51"/>
    <s v="Jul"/>
    <n v="7"/>
    <x v="566"/>
  </r>
  <r>
    <d v="2023-07-22T00:00:00"/>
    <x v="3"/>
    <s v="12466.35"/>
    <s v="11671.57"/>
    <s v="East"/>
    <x v="1"/>
    <x v="0"/>
    <x v="7"/>
    <x v="567"/>
    <n v="11671.57"/>
    <s v="Jul"/>
    <n v="7"/>
    <x v="567"/>
  </r>
  <r>
    <d v="2023-07-23T00:00:00"/>
    <x v="0"/>
    <s v="10967.48"/>
    <s v="10892.77"/>
    <s v="North"/>
    <x v="1"/>
    <x v="2"/>
    <x v="2"/>
    <x v="568"/>
    <n v="10892.77"/>
    <s v="Jul"/>
    <n v="7"/>
    <x v="568"/>
  </r>
  <r>
    <d v="2023-07-24T00:00:00"/>
    <x v="0"/>
    <s v="-1691.13"/>
    <s v="-1552.95"/>
    <s v="East"/>
    <x v="0"/>
    <x v="1"/>
    <x v="0"/>
    <x v="569"/>
    <n v="-1552.95"/>
    <s v="Jul"/>
    <n v="7"/>
    <x v="569"/>
  </r>
  <r>
    <d v="2023-07-25T00:00:00"/>
    <x v="4"/>
    <s v="19691.7"/>
    <s v="19352.34"/>
    <s v="West"/>
    <x v="2"/>
    <x v="2"/>
    <x v="1"/>
    <x v="570"/>
    <n v="19352.34"/>
    <s v="Jul"/>
    <n v="7"/>
    <x v="570"/>
  </r>
  <r>
    <d v="2023-07-26T00:00:00"/>
    <x v="2"/>
    <s v="7253.06"/>
    <s v="7326.23"/>
    <s v="West"/>
    <x v="0"/>
    <x v="2"/>
    <x v="0"/>
    <x v="571"/>
    <n v="7326.23"/>
    <s v="Jul"/>
    <n v="7"/>
    <x v="571"/>
  </r>
  <r>
    <d v="2023-07-27T00:00:00"/>
    <x v="3"/>
    <s v="17961.75"/>
    <s v="15591.4"/>
    <s v="South"/>
    <x v="3"/>
    <x v="0"/>
    <x v="2"/>
    <x v="572"/>
    <n v="15591.4"/>
    <s v="Jul"/>
    <n v="7"/>
    <x v="572"/>
  </r>
  <r>
    <d v="2023-07-28T00:00:00"/>
    <x v="4"/>
    <s v="6527.79"/>
    <s v="6284.91"/>
    <s v="North"/>
    <x v="2"/>
    <x v="0"/>
    <x v="1"/>
    <x v="573"/>
    <n v="6284.91"/>
    <s v="Jul"/>
    <n v="7"/>
    <x v="573"/>
  </r>
  <r>
    <d v="2023-07-29T00:00:00"/>
    <x v="4"/>
    <s v="14110.42"/>
    <s v="11788.61"/>
    <s v="North"/>
    <x v="0"/>
    <x v="2"/>
    <x v="5"/>
    <x v="574"/>
    <n v="11788.61"/>
    <s v="Jul"/>
    <n v="7"/>
    <x v="574"/>
  </r>
  <r>
    <d v="2023-07-30T00:00:00"/>
    <x v="0"/>
    <s v="11691.54"/>
    <s v="12429.1"/>
    <s v="South"/>
    <x v="2"/>
    <x v="1"/>
    <x v="4"/>
    <x v="575"/>
    <n v="12429.1"/>
    <s v="Jul"/>
    <n v="7"/>
    <x v="575"/>
  </r>
  <r>
    <d v="2023-07-31T00:00:00"/>
    <x v="0"/>
    <s v="5169.64"/>
    <s v="5437.08"/>
    <s v="East"/>
    <x v="0"/>
    <x v="2"/>
    <x v="5"/>
    <x v="576"/>
    <n v="5437.08"/>
    <s v="Jul"/>
    <n v="7"/>
    <x v="576"/>
  </r>
  <r>
    <d v="2023-08-01T00:00:00"/>
    <x v="3"/>
    <s v="7335.85"/>
    <s v="8512.04"/>
    <s v="North"/>
    <x v="1"/>
    <x v="0"/>
    <x v="0"/>
    <x v="577"/>
    <n v="8512.0400000000009"/>
    <s v="Aug"/>
    <n v="8"/>
    <x v="577"/>
  </r>
  <r>
    <d v="2023-08-02T00:00:00"/>
    <x v="4"/>
    <s v="10607.14"/>
    <s v="11432.78"/>
    <s v="East"/>
    <x v="3"/>
    <x v="1"/>
    <x v="4"/>
    <x v="578"/>
    <n v="11432.78"/>
    <s v="Aug"/>
    <n v="8"/>
    <x v="578"/>
  </r>
  <r>
    <d v="2023-08-03T00:00:00"/>
    <x v="0"/>
    <s v="9129.31"/>
    <s v="7750.7"/>
    <s v="South"/>
    <x v="0"/>
    <x v="1"/>
    <x v="5"/>
    <x v="579"/>
    <n v="7750.7"/>
    <s v="Aug"/>
    <n v="8"/>
    <x v="579"/>
  </r>
  <r>
    <d v="2023-08-04T00:00:00"/>
    <x v="1"/>
    <s v="15779.53"/>
    <s v="15370.13"/>
    <s v="South"/>
    <x v="3"/>
    <x v="0"/>
    <x v="6"/>
    <x v="580"/>
    <n v="15370.13"/>
    <s v="Aug"/>
    <n v="8"/>
    <x v="580"/>
  </r>
  <r>
    <d v="2023-08-05T00:00:00"/>
    <x v="0"/>
    <s v="10926.34"/>
    <s v="9310.39"/>
    <s v="East"/>
    <x v="1"/>
    <x v="2"/>
    <x v="0"/>
    <x v="581"/>
    <n v="9310.39"/>
    <s v="Aug"/>
    <n v="8"/>
    <x v="581"/>
  </r>
  <r>
    <d v="2023-08-06T00:00:00"/>
    <x v="4"/>
    <s v="-2739.11"/>
    <s v="-2746.21"/>
    <s v="East"/>
    <x v="1"/>
    <x v="2"/>
    <x v="4"/>
    <x v="582"/>
    <n v="-2746.21"/>
    <s v="Aug"/>
    <n v="8"/>
    <x v="582"/>
  </r>
  <r>
    <d v="2023-08-07T00:00:00"/>
    <x v="0"/>
    <s v="5692.91"/>
    <s v="4990.53"/>
    <s v="West"/>
    <x v="0"/>
    <x v="1"/>
    <x v="2"/>
    <x v="583"/>
    <n v="4990.53"/>
    <s v="Aug"/>
    <n v="8"/>
    <x v="583"/>
  </r>
  <r>
    <d v="2023-08-08T00:00:00"/>
    <x v="0"/>
    <s v="6632.83"/>
    <s v="7223.69"/>
    <s v="South"/>
    <x v="0"/>
    <x v="0"/>
    <x v="0"/>
    <x v="584"/>
    <n v="7223.69"/>
    <s v="Aug"/>
    <n v="8"/>
    <x v="584"/>
  </r>
  <r>
    <d v="2023-08-09T00:00:00"/>
    <x v="1"/>
    <s v="8216.02"/>
    <s v="8171.52"/>
    <s v="North"/>
    <x v="0"/>
    <x v="2"/>
    <x v="3"/>
    <x v="585"/>
    <n v="8171.52"/>
    <s v="Aug"/>
    <n v="8"/>
    <x v="585"/>
  </r>
  <r>
    <d v="2023-08-10T00:00:00"/>
    <x v="0"/>
    <s v="9730.26"/>
    <s v="9587.82"/>
    <s v="East"/>
    <x v="1"/>
    <x v="0"/>
    <x v="1"/>
    <x v="586"/>
    <n v="9587.82"/>
    <s v="Aug"/>
    <n v="8"/>
    <x v="586"/>
  </r>
  <r>
    <d v="2023-08-11T00:00:00"/>
    <x v="1"/>
    <s v="9817.12"/>
    <s v="8522.78"/>
    <s v="North"/>
    <x v="0"/>
    <x v="2"/>
    <x v="4"/>
    <x v="587"/>
    <n v="8522.7800000000007"/>
    <s v="Aug"/>
    <n v="8"/>
    <x v="587"/>
  </r>
  <r>
    <d v="2023-08-12T00:00:00"/>
    <x v="0"/>
    <s v="392.24"/>
    <s v="394.37"/>
    <s v="South"/>
    <x v="1"/>
    <x v="0"/>
    <x v="6"/>
    <x v="588"/>
    <n v="394.37"/>
    <s v="Aug"/>
    <n v="8"/>
    <x v="588"/>
  </r>
  <r>
    <d v="2023-08-13T00:00:00"/>
    <x v="0"/>
    <s v="4237.37"/>
    <s v="4376.9"/>
    <s v="East"/>
    <x v="1"/>
    <x v="0"/>
    <x v="2"/>
    <x v="589"/>
    <n v="4376.8999999999996"/>
    <s v="Aug"/>
    <n v="8"/>
    <x v="589"/>
  </r>
  <r>
    <d v="2023-08-14T00:00:00"/>
    <x v="4"/>
    <s v="13987.17"/>
    <s v="13064.35"/>
    <s v="South"/>
    <x v="2"/>
    <x v="0"/>
    <x v="2"/>
    <x v="590"/>
    <n v="13064.35"/>
    <s v="Aug"/>
    <n v="8"/>
    <x v="590"/>
  </r>
  <r>
    <d v="2023-08-15T00:00:00"/>
    <x v="1"/>
    <s v="10659.8"/>
    <s v="11676.01"/>
    <s v="East"/>
    <x v="0"/>
    <x v="0"/>
    <x v="0"/>
    <x v="591"/>
    <n v="11676.01"/>
    <s v="Aug"/>
    <n v="8"/>
    <x v="591"/>
  </r>
  <r>
    <d v="2023-08-16T00:00:00"/>
    <x v="0"/>
    <s v="10473.68"/>
    <s v="10342.93"/>
    <s v="West"/>
    <x v="3"/>
    <x v="0"/>
    <x v="3"/>
    <x v="592"/>
    <n v="10342.93"/>
    <s v="Aug"/>
    <n v="8"/>
    <x v="592"/>
  </r>
  <r>
    <d v="2023-08-17T00:00:00"/>
    <x v="3"/>
    <s v="11782.74"/>
    <s v="12102.97"/>
    <s v="North"/>
    <x v="0"/>
    <x v="2"/>
    <x v="6"/>
    <x v="593"/>
    <n v="12102.97"/>
    <s v="Aug"/>
    <n v="8"/>
    <x v="593"/>
  </r>
  <r>
    <d v="2023-08-18T00:00:00"/>
    <x v="2"/>
    <s v="21877.47"/>
    <s v="23914.48"/>
    <s v="South"/>
    <x v="1"/>
    <x v="0"/>
    <x v="1"/>
    <x v="594"/>
    <n v="23914.48"/>
    <s v="Aug"/>
    <n v="8"/>
    <x v="594"/>
  </r>
  <r>
    <d v="2023-08-19T00:00:00"/>
    <x v="2"/>
    <s v="10882.27"/>
    <s v="10116.52"/>
    <s v="South"/>
    <x v="0"/>
    <x v="2"/>
    <x v="5"/>
    <x v="595"/>
    <n v="10116.52"/>
    <s v="Aug"/>
    <n v="8"/>
    <x v="595"/>
  </r>
  <r>
    <d v="2023-08-20T00:00:00"/>
    <x v="2"/>
    <s v="5756.19"/>
    <s v="5237.17"/>
    <s v="East"/>
    <x v="2"/>
    <x v="2"/>
    <x v="4"/>
    <x v="596"/>
    <n v="5237.17"/>
    <s v="Aug"/>
    <n v="8"/>
    <x v="596"/>
  </r>
  <r>
    <d v="2023-08-21T00:00:00"/>
    <x v="1"/>
    <s v="3661.31"/>
    <s v="3917.24"/>
    <s v="East"/>
    <x v="0"/>
    <x v="0"/>
    <x v="0"/>
    <x v="597"/>
    <n v="3917.24"/>
    <s v="Aug"/>
    <n v="8"/>
    <x v="597"/>
  </r>
  <r>
    <d v="2023-08-22T00:00:00"/>
    <x v="1"/>
    <s v="21976.54"/>
    <s v="22828.47"/>
    <s v="West"/>
    <x v="2"/>
    <x v="0"/>
    <x v="7"/>
    <x v="598"/>
    <n v="22828.47"/>
    <s v="Aug"/>
    <n v="8"/>
    <x v="598"/>
  </r>
  <r>
    <d v="2023-08-23T00:00:00"/>
    <x v="2"/>
    <s v="8411.82"/>
    <s v="8080.35"/>
    <s v="East"/>
    <x v="2"/>
    <x v="1"/>
    <x v="5"/>
    <x v="599"/>
    <n v="8080.35"/>
    <s v="Aug"/>
    <n v="8"/>
    <x v="599"/>
  </r>
  <r>
    <d v="2023-08-24T00:00:00"/>
    <x v="3"/>
    <s v="9400.0"/>
    <s v="10362.35"/>
    <s v="South"/>
    <x v="1"/>
    <x v="2"/>
    <x v="0"/>
    <x v="600"/>
    <n v="10362.35"/>
    <s v="Aug"/>
    <n v="8"/>
    <x v="600"/>
  </r>
  <r>
    <d v="2023-08-25T00:00:00"/>
    <x v="3"/>
    <s v="8523.07"/>
    <s v="9539.48"/>
    <s v="East"/>
    <x v="2"/>
    <x v="1"/>
    <x v="5"/>
    <x v="601"/>
    <n v="9539.48"/>
    <s v="Aug"/>
    <n v="8"/>
    <x v="601"/>
  </r>
  <r>
    <d v="2023-08-26T00:00:00"/>
    <x v="3"/>
    <s v="10030.62"/>
    <s v="9130.73"/>
    <s v="North"/>
    <x v="3"/>
    <x v="0"/>
    <x v="5"/>
    <x v="602"/>
    <n v="9130.73"/>
    <s v="Aug"/>
    <n v="8"/>
    <x v="602"/>
  </r>
  <r>
    <d v="2023-08-27T00:00:00"/>
    <x v="4"/>
    <s v="-88.67"/>
    <s v="-90.06"/>
    <s v="West"/>
    <x v="0"/>
    <x v="0"/>
    <x v="5"/>
    <x v="603"/>
    <n v="-90.06"/>
    <s v="Aug"/>
    <n v="8"/>
    <x v="603"/>
  </r>
  <r>
    <d v="2023-08-28T00:00:00"/>
    <x v="4"/>
    <s v="4010.01"/>
    <s v="4164.33"/>
    <s v="North"/>
    <x v="3"/>
    <x v="0"/>
    <x v="5"/>
    <x v="604"/>
    <n v="4164.33"/>
    <s v="Aug"/>
    <n v="8"/>
    <x v="604"/>
  </r>
  <r>
    <d v="2023-08-29T00:00:00"/>
    <x v="1"/>
    <s v="-3160.8"/>
    <s v="-3082.47"/>
    <s v="North"/>
    <x v="0"/>
    <x v="1"/>
    <x v="7"/>
    <x v="605"/>
    <n v="-3082.47"/>
    <s v="Aug"/>
    <n v="8"/>
    <x v="605"/>
  </r>
  <r>
    <d v="2023-08-30T00:00:00"/>
    <x v="0"/>
    <s v="-1359.5"/>
    <s v="-1347.55"/>
    <s v="East"/>
    <x v="0"/>
    <x v="0"/>
    <x v="5"/>
    <x v="606"/>
    <n v="-1347.55"/>
    <s v="Aug"/>
    <n v="8"/>
    <x v="606"/>
  </r>
  <r>
    <d v="2023-08-31T00:00:00"/>
    <x v="4"/>
    <s v="3506.6"/>
    <s v="3690.98"/>
    <s v="West"/>
    <x v="0"/>
    <x v="0"/>
    <x v="3"/>
    <x v="607"/>
    <n v="3690.98"/>
    <s v="Aug"/>
    <n v="8"/>
    <x v="607"/>
  </r>
  <r>
    <d v="2023-09-01T00:00:00"/>
    <x v="0"/>
    <s v="-7858.32"/>
    <s v="-6591.98"/>
    <s v="East"/>
    <x v="1"/>
    <x v="0"/>
    <x v="2"/>
    <x v="608"/>
    <n v="-6591.98"/>
    <s v="Sept"/>
    <n v="9"/>
    <x v="608"/>
  </r>
  <r>
    <d v="2023-09-02T00:00:00"/>
    <x v="1"/>
    <s v="16783.55"/>
    <s v="17381.61"/>
    <s v="East"/>
    <x v="3"/>
    <x v="1"/>
    <x v="6"/>
    <x v="609"/>
    <n v="17381.61"/>
    <s v="Sept"/>
    <n v="9"/>
    <x v="609"/>
  </r>
  <r>
    <d v="2023-09-03T00:00:00"/>
    <x v="4"/>
    <s v="7619.97"/>
    <s v="7896.47"/>
    <s v="East"/>
    <x v="0"/>
    <x v="0"/>
    <x v="3"/>
    <x v="610"/>
    <n v="7896.47"/>
    <s v="Sept"/>
    <n v="9"/>
    <x v="610"/>
  </r>
  <r>
    <d v="2023-09-04T00:00:00"/>
    <x v="1"/>
    <s v="6435.03"/>
    <s v="6132.75"/>
    <s v="East"/>
    <x v="1"/>
    <x v="2"/>
    <x v="6"/>
    <x v="611"/>
    <n v="6132.75"/>
    <s v="Sept"/>
    <n v="9"/>
    <x v="611"/>
  </r>
  <r>
    <d v="2023-09-05T00:00:00"/>
    <x v="3"/>
    <s v="1772.76"/>
    <s v="1732.72"/>
    <s v="East"/>
    <x v="0"/>
    <x v="1"/>
    <x v="2"/>
    <x v="612"/>
    <n v="1732.72"/>
    <s v="Sept"/>
    <n v="9"/>
    <x v="612"/>
  </r>
  <r>
    <d v="2023-09-06T00:00:00"/>
    <x v="0"/>
    <s v="5707.24"/>
    <s v="6018.43"/>
    <s v="North"/>
    <x v="0"/>
    <x v="2"/>
    <x v="3"/>
    <x v="613"/>
    <n v="6018.43"/>
    <s v="Sept"/>
    <n v="9"/>
    <x v="613"/>
  </r>
  <r>
    <d v="2023-09-07T00:00:00"/>
    <x v="1"/>
    <s v="10059.58"/>
    <s v="10966.0"/>
    <s v="East"/>
    <x v="3"/>
    <x v="0"/>
    <x v="7"/>
    <x v="614"/>
    <n v="10966"/>
    <s v="Sept"/>
    <n v="9"/>
    <x v="614"/>
  </r>
  <r>
    <d v="2023-09-08T00:00:00"/>
    <x v="3"/>
    <s v="10382.41"/>
    <s v="10848.22"/>
    <s v="South"/>
    <x v="0"/>
    <x v="0"/>
    <x v="4"/>
    <x v="615"/>
    <n v="10848.22"/>
    <s v="Sept"/>
    <n v="9"/>
    <x v="615"/>
  </r>
  <r>
    <d v="2023-09-09T00:00:00"/>
    <x v="1"/>
    <s v="4026.55"/>
    <s v="4172.86"/>
    <s v="South"/>
    <x v="0"/>
    <x v="2"/>
    <x v="2"/>
    <x v="616"/>
    <n v="4172.8599999999997"/>
    <s v="Sept"/>
    <n v="9"/>
    <x v="616"/>
  </r>
  <r>
    <d v="2023-09-10T00:00:00"/>
    <x v="4"/>
    <s v="-1615.67"/>
    <s v="-1544.43"/>
    <s v="South"/>
    <x v="1"/>
    <x v="2"/>
    <x v="1"/>
    <x v="617"/>
    <n v="-1544.43"/>
    <s v="Sept"/>
    <n v="9"/>
    <x v="617"/>
  </r>
  <r>
    <d v="2023-09-11T00:00:00"/>
    <x v="1"/>
    <s v="11321.31"/>
    <s v="11135.28"/>
    <s v="East"/>
    <x v="2"/>
    <x v="2"/>
    <x v="7"/>
    <x v="618"/>
    <n v="11135.28"/>
    <s v="Sept"/>
    <n v="9"/>
    <x v="618"/>
  </r>
  <r>
    <d v="2023-09-12T00:00:00"/>
    <x v="2"/>
    <s v="8810.05"/>
    <s v="9798.01"/>
    <s v="South"/>
    <x v="1"/>
    <x v="1"/>
    <x v="1"/>
    <x v="619"/>
    <n v="9798.01"/>
    <s v="Sept"/>
    <n v="9"/>
    <x v="619"/>
  </r>
  <r>
    <d v="2023-09-13T00:00:00"/>
    <x v="0"/>
    <s v="3551.1"/>
    <s v="3624.56"/>
    <s v="East"/>
    <x v="3"/>
    <x v="1"/>
    <x v="2"/>
    <x v="620"/>
    <n v="3624.56"/>
    <s v="Sept"/>
    <n v="9"/>
    <x v="620"/>
  </r>
  <r>
    <d v="2023-09-14T00:00:00"/>
    <x v="4"/>
    <s v="14127.37"/>
    <s v="14898.95"/>
    <s v="North"/>
    <x v="0"/>
    <x v="0"/>
    <x v="1"/>
    <x v="621"/>
    <n v="14898.95"/>
    <s v="Sept"/>
    <n v="9"/>
    <x v="621"/>
  </r>
  <r>
    <d v="2023-09-15T00:00:00"/>
    <x v="2"/>
    <s v="10042.27"/>
    <s v="10537.43"/>
    <s v="South"/>
    <x v="3"/>
    <x v="2"/>
    <x v="3"/>
    <x v="622"/>
    <n v="10537.43"/>
    <s v="Sept"/>
    <n v="9"/>
    <x v="622"/>
  </r>
  <r>
    <d v="2023-09-16T00:00:00"/>
    <x v="0"/>
    <s v="12566.72"/>
    <s v="12308.7"/>
    <s v="North"/>
    <x v="3"/>
    <x v="1"/>
    <x v="6"/>
    <x v="623"/>
    <n v="12308.7"/>
    <s v="Sept"/>
    <n v="9"/>
    <x v="623"/>
  </r>
  <r>
    <d v="2023-09-17T00:00:00"/>
    <x v="1"/>
    <s v="14970.58"/>
    <s v="14233.36"/>
    <s v="North"/>
    <x v="2"/>
    <x v="1"/>
    <x v="0"/>
    <x v="624"/>
    <n v="14233.36"/>
    <s v="Sept"/>
    <n v="9"/>
    <x v="624"/>
  </r>
  <r>
    <d v="2023-09-18T00:00:00"/>
    <x v="4"/>
    <s v="12186.09"/>
    <s v="13257.01"/>
    <s v="East"/>
    <x v="2"/>
    <x v="2"/>
    <x v="7"/>
    <x v="625"/>
    <n v="13257.01"/>
    <s v="Sept"/>
    <n v="9"/>
    <x v="625"/>
  </r>
  <r>
    <d v="2023-09-19T00:00:00"/>
    <x v="4"/>
    <s v="2610.06"/>
    <s v="2722.39"/>
    <s v="West"/>
    <x v="3"/>
    <x v="0"/>
    <x v="4"/>
    <x v="626"/>
    <n v="2722.39"/>
    <s v="Sept"/>
    <n v="9"/>
    <x v="626"/>
  </r>
  <r>
    <d v="2023-09-20T00:00:00"/>
    <x v="3"/>
    <s v="14183.18"/>
    <s v="13816.43"/>
    <s v="North"/>
    <x v="2"/>
    <x v="0"/>
    <x v="1"/>
    <x v="627"/>
    <n v="13816.43"/>
    <s v="Sept"/>
    <n v="9"/>
    <x v="627"/>
  </r>
  <r>
    <d v="2023-09-21T00:00:00"/>
    <x v="0"/>
    <s v="-3870.12"/>
    <s v="-3920.94"/>
    <s v="West"/>
    <x v="1"/>
    <x v="1"/>
    <x v="4"/>
    <x v="628"/>
    <n v="-3920.94"/>
    <s v="Sept"/>
    <n v="9"/>
    <x v="628"/>
  </r>
  <r>
    <d v="2023-09-22T00:00:00"/>
    <x v="3"/>
    <s v="8389.15"/>
    <s v="7861.18"/>
    <s v="South"/>
    <x v="0"/>
    <x v="2"/>
    <x v="2"/>
    <x v="629"/>
    <n v="7861.18"/>
    <s v="Sept"/>
    <n v="9"/>
    <x v="629"/>
  </r>
  <r>
    <d v="2023-09-23T00:00:00"/>
    <x v="0"/>
    <s v="11252.02"/>
    <s v="12266.76"/>
    <s v="East"/>
    <x v="1"/>
    <x v="2"/>
    <x v="2"/>
    <x v="630"/>
    <n v="12266.76"/>
    <s v="Sept"/>
    <n v="9"/>
    <x v="630"/>
  </r>
  <r>
    <d v="2023-09-24T00:00:00"/>
    <x v="3"/>
    <s v="7530.63"/>
    <s v="7158.41"/>
    <s v="West"/>
    <x v="2"/>
    <x v="0"/>
    <x v="2"/>
    <x v="631"/>
    <n v="7158.41"/>
    <s v="Sept"/>
    <n v="9"/>
    <x v="631"/>
  </r>
  <r>
    <d v="2023-09-25T00:00:00"/>
    <x v="3"/>
    <s v="4094.68"/>
    <s v="3720.54"/>
    <s v="South"/>
    <x v="3"/>
    <x v="0"/>
    <x v="2"/>
    <x v="632"/>
    <n v="3720.54"/>
    <s v="Sept"/>
    <n v="9"/>
    <x v="632"/>
  </r>
  <r>
    <d v="2023-09-26T00:00:00"/>
    <x v="1"/>
    <s v="4680.08"/>
    <s v="4216.09"/>
    <s v="South"/>
    <x v="3"/>
    <x v="2"/>
    <x v="1"/>
    <x v="633"/>
    <n v="4216.09"/>
    <s v="Sept"/>
    <n v="9"/>
    <x v="633"/>
  </r>
  <r>
    <d v="2023-09-27T00:00:00"/>
    <x v="1"/>
    <s v="8525.46"/>
    <s v="9679.25"/>
    <s v="East"/>
    <x v="2"/>
    <x v="2"/>
    <x v="4"/>
    <x v="634"/>
    <n v="9679.25"/>
    <s v="Sept"/>
    <n v="9"/>
    <x v="634"/>
  </r>
  <r>
    <d v="2023-09-28T00:00:00"/>
    <x v="2"/>
    <s v="7366.4"/>
    <s v="7086.89"/>
    <s v="West"/>
    <x v="2"/>
    <x v="1"/>
    <x v="3"/>
    <x v="635"/>
    <n v="7086.89"/>
    <s v="Sept"/>
    <n v="9"/>
    <x v="635"/>
  </r>
  <r>
    <d v="2023-09-29T00:00:00"/>
    <x v="1"/>
    <s v="5155.79"/>
    <s v="4403.99"/>
    <s v="West"/>
    <x v="2"/>
    <x v="1"/>
    <x v="6"/>
    <x v="636"/>
    <n v="4403.99"/>
    <s v="Sept"/>
    <n v="9"/>
    <x v="636"/>
  </r>
  <r>
    <d v="2023-09-30T00:00:00"/>
    <x v="3"/>
    <s v="16727.59"/>
    <s v="18428.71"/>
    <s v="East"/>
    <x v="3"/>
    <x v="2"/>
    <x v="5"/>
    <x v="637"/>
    <n v="18428.71"/>
    <s v="Sept"/>
    <n v="9"/>
    <x v="637"/>
  </r>
  <r>
    <d v="2023-10-01T00:00:00"/>
    <x v="4"/>
    <s v="17985.49"/>
    <s v="19830.24"/>
    <s v="North"/>
    <x v="0"/>
    <x v="2"/>
    <x v="2"/>
    <x v="638"/>
    <n v="19830.240000000002"/>
    <s v="Oct"/>
    <n v="10"/>
    <x v="638"/>
  </r>
  <r>
    <d v="2023-10-02T00:00:00"/>
    <x v="4"/>
    <s v="12957.33"/>
    <s v="12124.53"/>
    <s v="East"/>
    <x v="0"/>
    <x v="2"/>
    <x v="6"/>
    <x v="639"/>
    <n v="12124.53"/>
    <s v="Oct"/>
    <n v="10"/>
    <x v="639"/>
  </r>
  <r>
    <d v="2023-10-03T00:00:00"/>
    <x v="3"/>
    <s v="12309.33"/>
    <s v="14419.12"/>
    <s v="North"/>
    <x v="0"/>
    <x v="0"/>
    <x v="5"/>
    <x v="640"/>
    <n v="14419.12"/>
    <s v="Oct"/>
    <n v="10"/>
    <x v="640"/>
  </r>
  <r>
    <d v="2023-10-04T00:00:00"/>
    <x v="3"/>
    <s v="10308.0"/>
    <s v="10384.51"/>
    <s v="East"/>
    <x v="0"/>
    <x v="1"/>
    <x v="5"/>
    <x v="641"/>
    <n v="10384.51"/>
    <s v="Oct"/>
    <n v="10"/>
    <x v="641"/>
  </r>
  <r>
    <d v="2023-10-05T00:00:00"/>
    <x v="1"/>
    <s v="17583.78"/>
    <s v="20729.36"/>
    <s v="East"/>
    <x v="0"/>
    <x v="0"/>
    <x v="3"/>
    <x v="642"/>
    <n v="20729.36"/>
    <s v="Oct"/>
    <n v="10"/>
    <x v="642"/>
  </r>
  <r>
    <d v="2023-10-06T00:00:00"/>
    <x v="4"/>
    <s v="-1052.8"/>
    <s v="-1022.5"/>
    <s v="South"/>
    <x v="1"/>
    <x v="2"/>
    <x v="2"/>
    <x v="643"/>
    <n v="-1022.5"/>
    <s v="Oct"/>
    <n v="10"/>
    <x v="643"/>
  </r>
  <r>
    <d v="2023-10-07T00:00:00"/>
    <x v="3"/>
    <s v="1481.83"/>
    <s v="1587.63"/>
    <s v="North"/>
    <x v="0"/>
    <x v="0"/>
    <x v="1"/>
    <x v="644"/>
    <n v="1587.63"/>
    <s v="Oct"/>
    <n v="10"/>
    <x v="644"/>
  </r>
  <r>
    <d v="2023-10-08T00:00:00"/>
    <x v="4"/>
    <s v="17864.35"/>
    <s v="18763.17"/>
    <s v="North"/>
    <x v="3"/>
    <x v="2"/>
    <x v="0"/>
    <x v="645"/>
    <n v="18763.169999999998"/>
    <s v="Oct"/>
    <n v="10"/>
    <x v="645"/>
  </r>
  <r>
    <d v="2023-10-09T00:00:00"/>
    <x v="4"/>
    <s v="-3337.11"/>
    <s v="-3342.28"/>
    <s v="East"/>
    <x v="0"/>
    <x v="1"/>
    <x v="7"/>
    <x v="646"/>
    <n v="-3342.28"/>
    <s v="Oct"/>
    <n v="10"/>
    <x v="646"/>
  </r>
  <r>
    <d v="2023-10-10T00:00:00"/>
    <x v="3"/>
    <s v="6462.41"/>
    <s v="6127.22"/>
    <s v="North"/>
    <x v="0"/>
    <x v="2"/>
    <x v="5"/>
    <x v="647"/>
    <n v="6127.22"/>
    <s v="Oct"/>
    <n v="10"/>
    <x v="647"/>
  </r>
  <r>
    <d v="2023-10-11T00:00:00"/>
    <x v="3"/>
    <s v="8515.48"/>
    <s v="8749.57"/>
    <s v="West"/>
    <x v="3"/>
    <x v="2"/>
    <x v="2"/>
    <x v="648"/>
    <n v="8749.57"/>
    <s v="Oct"/>
    <n v="10"/>
    <x v="648"/>
  </r>
  <r>
    <d v="2023-10-12T00:00:00"/>
    <x v="3"/>
    <s v="12122.53"/>
    <s v="11303.7"/>
    <s v="South"/>
    <x v="3"/>
    <x v="2"/>
    <x v="1"/>
    <x v="649"/>
    <n v="11303.7"/>
    <s v="Oct"/>
    <n v="10"/>
    <x v="649"/>
  </r>
  <r>
    <d v="2023-10-13T00:00:00"/>
    <x v="4"/>
    <s v="7175.21"/>
    <s v="7811.85"/>
    <s v="East"/>
    <x v="1"/>
    <x v="0"/>
    <x v="7"/>
    <x v="650"/>
    <n v="7811.85"/>
    <s v="Oct"/>
    <n v="10"/>
    <x v="650"/>
  </r>
  <r>
    <d v="2023-10-14T00:00:00"/>
    <x v="1"/>
    <s v="4128.45"/>
    <s v="3987.1"/>
    <s v="East"/>
    <x v="2"/>
    <x v="1"/>
    <x v="1"/>
    <x v="651"/>
    <n v="3987.1"/>
    <s v="Oct"/>
    <n v="10"/>
    <x v="651"/>
  </r>
  <r>
    <d v="2023-10-15T00:00:00"/>
    <x v="1"/>
    <s v="-7347.36"/>
    <s v="-7365.31"/>
    <s v="North"/>
    <x v="0"/>
    <x v="2"/>
    <x v="4"/>
    <x v="652"/>
    <n v="-7365.31"/>
    <s v="Oct"/>
    <n v="10"/>
    <x v="652"/>
  </r>
  <r>
    <d v="2023-10-16T00:00:00"/>
    <x v="2"/>
    <s v="13740.46"/>
    <s v="12967.49"/>
    <s v="West"/>
    <x v="0"/>
    <x v="2"/>
    <x v="0"/>
    <x v="653"/>
    <n v="12967.49"/>
    <s v="Oct"/>
    <n v="10"/>
    <x v="653"/>
  </r>
  <r>
    <d v="2023-10-17T00:00:00"/>
    <x v="4"/>
    <s v="17378.82"/>
    <s v="17411.06"/>
    <s v="West"/>
    <x v="1"/>
    <x v="2"/>
    <x v="4"/>
    <x v="654"/>
    <n v="17411.060000000001"/>
    <s v="Oct"/>
    <n v="10"/>
    <x v="654"/>
  </r>
  <r>
    <d v="2023-10-18T00:00:00"/>
    <x v="3"/>
    <s v="4399.21"/>
    <s v="4351.71"/>
    <s v="West"/>
    <x v="0"/>
    <x v="0"/>
    <x v="0"/>
    <x v="655"/>
    <n v="4351.71"/>
    <s v="Oct"/>
    <n v="10"/>
    <x v="655"/>
  </r>
  <r>
    <d v="2023-10-19T00:00:00"/>
    <x v="4"/>
    <s v="2827.07"/>
    <s v="2282.93"/>
    <s v="East"/>
    <x v="3"/>
    <x v="0"/>
    <x v="6"/>
    <x v="656"/>
    <n v="2282.9299999999998"/>
    <s v="Oct"/>
    <n v="10"/>
    <x v="656"/>
  </r>
  <r>
    <d v="2023-10-20T00:00:00"/>
    <x v="0"/>
    <s v="-6164.91"/>
    <s v="-6263.92"/>
    <s v="West"/>
    <x v="2"/>
    <x v="0"/>
    <x v="3"/>
    <x v="657"/>
    <n v="-6263.92"/>
    <s v="Oct"/>
    <n v="10"/>
    <x v="657"/>
  </r>
  <r>
    <d v="2023-10-21T00:00:00"/>
    <x v="2"/>
    <s v="6289.02"/>
    <s v="5886.81"/>
    <s v="South"/>
    <x v="0"/>
    <x v="2"/>
    <x v="0"/>
    <x v="658"/>
    <n v="5886.81"/>
    <s v="Oct"/>
    <n v="10"/>
    <x v="658"/>
  </r>
  <r>
    <d v="2023-10-22T00:00:00"/>
    <x v="4"/>
    <s v="-1611.26"/>
    <s v="-1719.43"/>
    <s v="North"/>
    <x v="2"/>
    <x v="0"/>
    <x v="4"/>
    <x v="659"/>
    <n v="-1719.43"/>
    <s v="Oct"/>
    <n v="10"/>
    <x v="659"/>
  </r>
  <r>
    <d v="2023-10-23T00:00:00"/>
    <x v="3"/>
    <s v="13249.36"/>
    <s v="13276.51"/>
    <s v="North"/>
    <x v="3"/>
    <x v="1"/>
    <x v="7"/>
    <x v="660"/>
    <n v="13276.51"/>
    <s v="Oct"/>
    <n v="10"/>
    <x v="660"/>
  </r>
  <r>
    <d v="2023-10-24T00:00:00"/>
    <x v="4"/>
    <s v="4761.87"/>
    <s v="4722.05"/>
    <s v="North"/>
    <x v="1"/>
    <x v="1"/>
    <x v="3"/>
    <x v="661"/>
    <n v="4722.05"/>
    <s v="Oct"/>
    <n v="10"/>
    <x v="661"/>
  </r>
  <r>
    <d v="2023-10-25T00:00:00"/>
    <x v="4"/>
    <s v="5436.41"/>
    <s v="4747.19"/>
    <s v="South"/>
    <x v="3"/>
    <x v="2"/>
    <x v="6"/>
    <x v="662"/>
    <n v="4747.1899999999996"/>
    <s v="Oct"/>
    <n v="10"/>
    <x v="662"/>
  </r>
  <r>
    <d v="2023-10-26T00:00:00"/>
    <x v="4"/>
    <s v="13977.73"/>
    <s v="13530.94"/>
    <s v="West"/>
    <x v="1"/>
    <x v="0"/>
    <x v="1"/>
    <x v="663"/>
    <n v="13530.94"/>
    <s v="Oct"/>
    <n v="10"/>
    <x v="663"/>
  </r>
  <r>
    <d v="2023-10-27T00:00:00"/>
    <x v="4"/>
    <s v="5626.38"/>
    <s v="5529.38"/>
    <s v="South"/>
    <x v="2"/>
    <x v="1"/>
    <x v="5"/>
    <x v="664"/>
    <n v="5529.38"/>
    <s v="Oct"/>
    <n v="10"/>
    <x v="664"/>
  </r>
  <r>
    <d v="2023-10-28T00:00:00"/>
    <x v="1"/>
    <s v="5883.77"/>
    <s v="5750.22"/>
    <s v="East"/>
    <x v="3"/>
    <x v="1"/>
    <x v="5"/>
    <x v="665"/>
    <n v="5750.22"/>
    <s v="Oct"/>
    <n v="10"/>
    <x v="665"/>
  </r>
  <r>
    <d v="2023-10-29T00:00:00"/>
    <x v="4"/>
    <s v="12618.31"/>
    <s v="11055.09"/>
    <s v="South"/>
    <x v="2"/>
    <x v="1"/>
    <x v="3"/>
    <x v="666"/>
    <n v="11055.09"/>
    <s v="Oct"/>
    <n v="10"/>
    <x v="666"/>
  </r>
  <r>
    <d v="2023-10-30T00:00:00"/>
    <x v="1"/>
    <s v="9651.42"/>
    <s v="9782.83"/>
    <s v="North"/>
    <x v="3"/>
    <x v="1"/>
    <x v="7"/>
    <x v="667"/>
    <n v="9782.83"/>
    <s v="Oct"/>
    <n v="10"/>
    <x v="667"/>
  </r>
  <r>
    <d v="2023-10-31T00:00:00"/>
    <x v="0"/>
    <s v="3363.61"/>
    <s v="3143.64"/>
    <s v="East"/>
    <x v="0"/>
    <x v="2"/>
    <x v="7"/>
    <x v="668"/>
    <n v="3143.64"/>
    <s v="Oct"/>
    <n v="10"/>
    <x v="668"/>
  </r>
  <r>
    <d v="2023-11-01T00:00:00"/>
    <x v="2"/>
    <s v="3025.09"/>
    <s v="3150.68"/>
    <s v="South"/>
    <x v="1"/>
    <x v="0"/>
    <x v="2"/>
    <x v="669"/>
    <n v="3150.68"/>
    <s v="Nov"/>
    <n v="11"/>
    <x v="669"/>
  </r>
  <r>
    <d v="2023-11-02T00:00:00"/>
    <x v="0"/>
    <s v="9379.86"/>
    <s v="10030.54"/>
    <s v="North"/>
    <x v="1"/>
    <x v="0"/>
    <x v="5"/>
    <x v="670"/>
    <n v="10030.540000000001"/>
    <s v="Nov"/>
    <n v="11"/>
    <x v="670"/>
  </r>
  <r>
    <d v="2023-11-03T00:00:00"/>
    <x v="2"/>
    <s v="12168.58"/>
    <s v="12251.4"/>
    <s v="South"/>
    <x v="1"/>
    <x v="0"/>
    <x v="0"/>
    <x v="671"/>
    <n v="12251.4"/>
    <s v="Nov"/>
    <n v="11"/>
    <x v="671"/>
  </r>
  <r>
    <d v="2023-11-04T00:00:00"/>
    <x v="2"/>
    <s v="6304.48"/>
    <s v="6951.34"/>
    <s v="North"/>
    <x v="0"/>
    <x v="1"/>
    <x v="5"/>
    <x v="672"/>
    <n v="6951.34"/>
    <s v="Nov"/>
    <n v="11"/>
    <x v="672"/>
  </r>
  <r>
    <d v="2023-11-05T00:00:00"/>
    <x v="2"/>
    <s v="9630.7"/>
    <s v="9800.56"/>
    <s v="West"/>
    <x v="0"/>
    <x v="0"/>
    <x v="5"/>
    <x v="673"/>
    <n v="9800.56"/>
    <s v="Nov"/>
    <n v="11"/>
    <x v="673"/>
  </r>
  <r>
    <d v="2023-11-06T00:00:00"/>
    <x v="4"/>
    <s v="747.39"/>
    <s v="832.56"/>
    <s v="West"/>
    <x v="3"/>
    <x v="0"/>
    <x v="1"/>
    <x v="674"/>
    <n v="832.56"/>
    <s v="Nov"/>
    <n v="11"/>
    <x v="674"/>
  </r>
  <r>
    <d v="2023-11-07T00:00:00"/>
    <x v="3"/>
    <s v="-5455.01"/>
    <s v="-6246.28"/>
    <s v="West"/>
    <x v="3"/>
    <x v="1"/>
    <x v="2"/>
    <x v="675"/>
    <n v="-6246.28"/>
    <s v="Nov"/>
    <n v="11"/>
    <x v="675"/>
  </r>
  <r>
    <d v="2023-11-08T00:00:00"/>
    <x v="0"/>
    <s v="7815.08"/>
    <s v="6829.47"/>
    <s v="South"/>
    <x v="3"/>
    <x v="1"/>
    <x v="2"/>
    <x v="676"/>
    <n v="6829.47"/>
    <s v="Nov"/>
    <n v="11"/>
    <x v="676"/>
  </r>
  <r>
    <d v="2023-11-09T00:00:00"/>
    <x v="0"/>
    <s v="10335.4"/>
    <s v="10605.14"/>
    <s v="South"/>
    <x v="1"/>
    <x v="1"/>
    <x v="6"/>
    <x v="677"/>
    <n v="10605.14"/>
    <s v="Nov"/>
    <n v="11"/>
    <x v="677"/>
  </r>
  <r>
    <d v="2023-11-10T00:00:00"/>
    <x v="4"/>
    <s v="14313.02"/>
    <s v="14470.1"/>
    <s v="West"/>
    <x v="3"/>
    <x v="1"/>
    <x v="2"/>
    <x v="678"/>
    <n v="14470.1"/>
    <s v="Nov"/>
    <n v="11"/>
    <x v="678"/>
  </r>
  <r>
    <d v="2023-11-11T00:00:00"/>
    <x v="3"/>
    <s v="11522.87"/>
    <s v="11641.28"/>
    <s v="North"/>
    <x v="2"/>
    <x v="2"/>
    <x v="2"/>
    <x v="679"/>
    <n v="11641.28"/>
    <s v="Nov"/>
    <n v="11"/>
    <x v="679"/>
  </r>
  <r>
    <d v="2023-11-12T00:00:00"/>
    <x v="0"/>
    <s v="2788.59"/>
    <s v="3250.0"/>
    <s v="South"/>
    <x v="3"/>
    <x v="1"/>
    <x v="7"/>
    <x v="680"/>
    <n v="3250"/>
    <s v="Nov"/>
    <n v="11"/>
    <x v="680"/>
  </r>
  <r>
    <d v="2023-11-13T00:00:00"/>
    <x v="3"/>
    <s v="7507.83"/>
    <s v="7758.89"/>
    <s v="North"/>
    <x v="3"/>
    <x v="0"/>
    <x v="5"/>
    <x v="681"/>
    <n v="7758.89"/>
    <s v="Nov"/>
    <n v="11"/>
    <x v="681"/>
  </r>
  <r>
    <d v="2023-11-14T00:00:00"/>
    <x v="3"/>
    <s v="-3938.6"/>
    <s v="-3715.42"/>
    <s v="East"/>
    <x v="0"/>
    <x v="0"/>
    <x v="5"/>
    <x v="682"/>
    <n v="-3715.42"/>
    <s v="Nov"/>
    <n v="11"/>
    <x v="682"/>
  </r>
  <r>
    <d v="2023-11-15T00:00:00"/>
    <x v="2"/>
    <s v="458.32"/>
    <s v="405.59"/>
    <s v="West"/>
    <x v="0"/>
    <x v="2"/>
    <x v="3"/>
    <x v="683"/>
    <n v="405.59"/>
    <s v="Nov"/>
    <n v="11"/>
    <x v="683"/>
  </r>
  <r>
    <d v="2023-11-16T00:00:00"/>
    <x v="1"/>
    <s v="-2548.31"/>
    <s v="-2621.88"/>
    <s v="North"/>
    <x v="3"/>
    <x v="1"/>
    <x v="5"/>
    <x v="684"/>
    <n v="-2621.88"/>
    <s v="Nov"/>
    <n v="11"/>
    <x v="684"/>
  </r>
  <r>
    <d v="2023-11-17T00:00:00"/>
    <x v="0"/>
    <s v="7466.14"/>
    <s v="8457.35"/>
    <s v="South"/>
    <x v="2"/>
    <x v="1"/>
    <x v="4"/>
    <x v="685"/>
    <n v="8457.35"/>
    <s v="Nov"/>
    <n v="11"/>
    <x v="685"/>
  </r>
  <r>
    <d v="2023-11-18T00:00:00"/>
    <x v="1"/>
    <s v="6250.57"/>
    <s v="7319.59"/>
    <s v="South"/>
    <x v="3"/>
    <x v="1"/>
    <x v="6"/>
    <x v="686"/>
    <n v="7319.59"/>
    <s v="Nov"/>
    <n v="11"/>
    <x v="686"/>
  </r>
  <r>
    <d v="2023-11-19T00:00:00"/>
    <x v="4"/>
    <s v="15098.99"/>
    <s v="14615.65"/>
    <s v="South"/>
    <x v="3"/>
    <x v="0"/>
    <x v="0"/>
    <x v="687"/>
    <n v="14615.65"/>
    <s v="Nov"/>
    <n v="11"/>
    <x v="687"/>
  </r>
  <r>
    <d v="2023-11-20T00:00:00"/>
    <x v="0"/>
    <s v="11483.9"/>
    <s v="11363.11"/>
    <s v="West"/>
    <x v="2"/>
    <x v="1"/>
    <x v="0"/>
    <x v="688"/>
    <n v="11363.11"/>
    <s v="Nov"/>
    <n v="11"/>
    <x v="688"/>
  </r>
  <r>
    <d v="2023-11-21T00:00:00"/>
    <x v="3"/>
    <s v="4907.41"/>
    <s v="5217.49"/>
    <s v="West"/>
    <x v="2"/>
    <x v="0"/>
    <x v="2"/>
    <x v="689"/>
    <n v="5217.49"/>
    <s v="Nov"/>
    <n v="11"/>
    <x v="689"/>
  </r>
  <r>
    <d v="2023-11-22T00:00:00"/>
    <x v="3"/>
    <s v="9193.0"/>
    <s v="10705.94"/>
    <s v="West"/>
    <x v="1"/>
    <x v="1"/>
    <x v="0"/>
    <x v="690"/>
    <n v="10705.94"/>
    <s v="Nov"/>
    <n v="11"/>
    <x v="690"/>
  </r>
  <r>
    <d v="2023-11-23T00:00:00"/>
    <x v="0"/>
    <s v="16145.19"/>
    <s v="17485.64"/>
    <s v="East"/>
    <x v="1"/>
    <x v="2"/>
    <x v="3"/>
    <x v="691"/>
    <n v="17485.64"/>
    <s v="Nov"/>
    <n v="11"/>
    <x v="691"/>
  </r>
  <r>
    <d v="2023-11-24T00:00:00"/>
    <x v="1"/>
    <s v="4814.63"/>
    <s v="4911.06"/>
    <s v="North"/>
    <x v="0"/>
    <x v="1"/>
    <x v="2"/>
    <x v="692"/>
    <n v="4911.0600000000004"/>
    <s v="Nov"/>
    <n v="11"/>
    <x v="692"/>
  </r>
  <r>
    <d v="2023-11-25T00:00:00"/>
    <x v="1"/>
    <s v="-1395.08"/>
    <s v="-1433.85"/>
    <s v="East"/>
    <x v="0"/>
    <x v="1"/>
    <x v="4"/>
    <x v="693"/>
    <n v="-1433.85"/>
    <s v="Nov"/>
    <n v="11"/>
    <x v="693"/>
  </r>
  <r>
    <d v="2023-11-26T00:00:00"/>
    <x v="2"/>
    <s v="11998.56"/>
    <s v="12269.68"/>
    <s v="West"/>
    <x v="0"/>
    <x v="0"/>
    <x v="7"/>
    <x v="694"/>
    <n v="12269.68"/>
    <s v="Nov"/>
    <n v="11"/>
    <x v="694"/>
  </r>
  <r>
    <d v="2023-11-27T00:00:00"/>
    <x v="4"/>
    <s v="5017.98"/>
    <s v="5582.62"/>
    <s v="West"/>
    <x v="0"/>
    <x v="0"/>
    <x v="7"/>
    <x v="695"/>
    <n v="5582.62"/>
    <s v="Nov"/>
    <n v="11"/>
    <x v="695"/>
  </r>
  <r>
    <d v="2023-11-28T00:00:00"/>
    <x v="4"/>
    <s v="-1835.72"/>
    <s v="-1936.58"/>
    <s v="East"/>
    <x v="2"/>
    <x v="1"/>
    <x v="0"/>
    <x v="696"/>
    <n v="-1936.58"/>
    <s v="Nov"/>
    <n v="11"/>
    <x v="696"/>
  </r>
  <r>
    <d v="2023-11-29T00:00:00"/>
    <x v="0"/>
    <s v="-3391.3"/>
    <s v="-2936.82"/>
    <s v="North"/>
    <x v="2"/>
    <x v="2"/>
    <x v="5"/>
    <x v="697"/>
    <n v="-2936.82"/>
    <s v="Nov"/>
    <n v="11"/>
    <x v="697"/>
  </r>
  <r>
    <d v="2023-11-30T00:00:00"/>
    <x v="4"/>
    <s v="3582.29"/>
    <s v="2915.56"/>
    <s v="East"/>
    <x v="3"/>
    <x v="2"/>
    <x v="5"/>
    <x v="698"/>
    <n v="2915.56"/>
    <s v="Nov"/>
    <n v="11"/>
    <x v="698"/>
  </r>
  <r>
    <d v="2023-12-01T00:00:00"/>
    <x v="4"/>
    <s v="-2890.86"/>
    <s v="-3009.04"/>
    <s v="North"/>
    <x v="0"/>
    <x v="2"/>
    <x v="0"/>
    <x v="699"/>
    <n v="-3009.04"/>
    <s v="Dec"/>
    <n v="12"/>
    <x v="699"/>
  </r>
  <r>
    <d v="2023-12-02T00:00:00"/>
    <x v="3"/>
    <s v="4891.66"/>
    <s v="4932.54"/>
    <s v="West"/>
    <x v="1"/>
    <x v="1"/>
    <x v="0"/>
    <x v="700"/>
    <n v="4932.54"/>
    <s v="Dec"/>
    <n v="12"/>
    <x v="700"/>
  </r>
  <r>
    <d v="2023-12-03T00:00:00"/>
    <x v="2"/>
    <s v="-285.09"/>
    <s v="-277.7"/>
    <s v="South"/>
    <x v="1"/>
    <x v="1"/>
    <x v="6"/>
    <x v="701"/>
    <n v="-277.7"/>
    <s v="Dec"/>
    <n v="12"/>
    <x v="701"/>
  </r>
  <r>
    <d v="2023-12-04T00:00:00"/>
    <x v="3"/>
    <s v="7153.91"/>
    <s v="7054.45"/>
    <s v="East"/>
    <x v="1"/>
    <x v="1"/>
    <x v="5"/>
    <x v="702"/>
    <n v="7054.45"/>
    <s v="Dec"/>
    <n v="12"/>
    <x v="702"/>
  </r>
  <r>
    <d v="2023-12-05T00:00:00"/>
    <x v="0"/>
    <s v="5603.06"/>
    <s v="6390.01"/>
    <s v="North"/>
    <x v="2"/>
    <x v="2"/>
    <x v="1"/>
    <x v="703"/>
    <n v="6390.01"/>
    <s v="Dec"/>
    <n v="12"/>
    <x v="703"/>
  </r>
  <r>
    <d v="2023-12-06T00:00:00"/>
    <x v="1"/>
    <s v="10112.57"/>
    <s v="9856.36"/>
    <s v="South"/>
    <x v="2"/>
    <x v="2"/>
    <x v="2"/>
    <x v="704"/>
    <n v="9856.36"/>
    <s v="Dec"/>
    <n v="12"/>
    <x v="704"/>
  </r>
  <r>
    <d v="2023-12-07T00:00:00"/>
    <x v="1"/>
    <s v="20647.37"/>
    <s v="19693.85"/>
    <s v="North"/>
    <x v="3"/>
    <x v="2"/>
    <x v="3"/>
    <x v="705"/>
    <n v="19693.849999999999"/>
    <s v="Dec"/>
    <n v="12"/>
    <x v="705"/>
  </r>
  <r>
    <d v="2023-12-08T00:00:00"/>
    <x v="1"/>
    <s v="1366.8"/>
    <s v="1420.42"/>
    <s v="South"/>
    <x v="2"/>
    <x v="0"/>
    <x v="1"/>
    <x v="706"/>
    <n v="1420.42"/>
    <s v="Dec"/>
    <n v="12"/>
    <x v="706"/>
  </r>
  <r>
    <d v="2023-12-09T00:00:00"/>
    <x v="3"/>
    <s v="11100.72"/>
    <s v="10507.4"/>
    <s v="West"/>
    <x v="2"/>
    <x v="0"/>
    <x v="3"/>
    <x v="707"/>
    <n v="10507.4"/>
    <s v="Dec"/>
    <n v="12"/>
    <x v="707"/>
  </r>
  <r>
    <d v="2023-12-10T00:00:00"/>
    <x v="1"/>
    <s v="1863.34"/>
    <s v="1813.34"/>
    <s v="West"/>
    <x v="2"/>
    <x v="2"/>
    <x v="4"/>
    <x v="708"/>
    <n v="1813.34"/>
    <s v="Dec"/>
    <n v="12"/>
    <x v="708"/>
  </r>
  <r>
    <d v="2023-12-11T00:00:00"/>
    <x v="0"/>
    <s v="3186.52"/>
    <s v="3236.89"/>
    <s v="West"/>
    <x v="3"/>
    <x v="0"/>
    <x v="6"/>
    <x v="709"/>
    <n v="3236.89"/>
    <s v="Dec"/>
    <n v="12"/>
    <x v="709"/>
  </r>
  <r>
    <d v="2023-12-12T00:00:00"/>
    <x v="3"/>
    <s v="276.47"/>
    <s v="275.94"/>
    <s v="South"/>
    <x v="1"/>
    <x v="0"/>
    <x v="1"/>
    <x v="710"/>
    <n v="275.94"/>
    <s v="Dec"/>
    <n v="12"/>
    <x v="710"/>
  </r>
  <r>
    <d v="2023-12-13T00:00:00"/>
    <x v="3"/>
    <s v="6304.01"/>
    <s v="6540.9"/>
    <s v="North"/>
    <x v="2"/>
    <x v="2"/>
    <x v="0"/>
    <x v="711"/>
    <n v="6540.9"/>
    <s v="Dec"/>
    <n v="12"/>
    <x v="711"/>
  </r>
  <r>
    <d v="2023-12-14T00:00:00"/>
    <x v="3"/>
    <s v="3725.81"/>
    <s v="3717.05"/>
    <s v="West"/>
    <x v="2"/>
    <x v="1"/>
    <x v="7"/>
    <x v="712"/>
    <n v="3717.05"/>
    <s v="Dec"/>
    <n v="12"/>
    <x v="712"/>
  </r>
  <r>
    <d v="2023-12-15T00:00:00"/>
    <x v="0"/>
    <s v="7233.04"/>
    <s v="7554.1"/>
    <s v="East"/>
    <x v="2"/>
    <x v="0"/>
    <x v="4"/>
    <x v="713"/>
    <n v="7554.1"/>
    <s v="Dec"/>
    <n v="12"/>
    <x v="713"/>
  </r>
  <r>
    <d v="2023-12-16T00:00:00"/>
    <x v="2"/>
    <s v="3079.24"/>
    <s v="3134.79"/>
    <s v="East"/>
    <x v="3"/>
    <x v="0"/>
    <x v="3"/>
    <x v="714"/>
    <n v="3134.79"/>
    <s v="Dec"/>
    <n v="12"/>
    <x v="714"/>
  </r>
  <r>
    <d v="2023-12-17T00:00:00"/>
    <x v="3"/>
    <s v="-79.07"/>
    <s v="-77.65"/>
    <s v="East"/>
    <x v="1"/>
    <x v="0"/>
    <x v="7"/>
    <x v="715"/>
    <n v="-77.650000000000006"/>
    <s v="Dec"/>
    <n v="12"/>
    <x v="715"/>
  </r>
  <r>
    <d v="2023-12-18T00:00:00"/>
    <x v="3"/>
    <s v="4778.7"/>
    <s v="4776.99"/>
    <s v="North"/>
    <x v="3"/>
    <x v="1"/>
    <x v="2"/>
    <x v="716"/>
    <n v="4776.99"/>
    <s v="Dec"/>
    <n v="12"/>
    <x v="716"/>
  </r>
  <r>
    <d v="2023-12-19T00:00:00"/>
    <x v="0"/>
    <s v="14084.34"/>
    <s v="15115.55"/>
    <s v="South"/>
    <x v="0"/>
    <x v="0"/>
    <x v="6"/>
    <x v="717"/>
    <n v="15115.55"/>
    <s v="Dec"/>
    <n v="12"/>
    <x v="717"/>
  </r>
  <r>
    <d v="2023-12-20T00:00:00"/>
    <x v="2"/>
    <s v="-3650.92"/>
    <s v="-3593.81"/>
    <s v="North"/>
    <x v="0"/>
    <x v="2"/>
    <x v="3"/>
    <x v="718"/>
    <n v="-3593.81"/>
    <s v="Dec"/>
    <n v="12"/>
    <x v="718"/>
  </r>
  <r>
    <d v="2023-12-21T00:00:00"/>
    <x v="1"/>
    <s v="5487.78"/>
    <s v="4793.2"/>
    <s v="West"/>
    <x v="1"/>
    <x v="0"/>
    <x v="0"/>
    <x v="719"/>
    <n v="4793.2"/>
    <s v="Dec"/>
    <n v="12"/>
    <x v="719"/>
  </r>
  <r>
    <d v="2023-12-22T00:00:00"/>
    <x v="4"/>
    <s v="6384.31"/>
    <s v="5870.15"/>
    <s v="North"/>
    <x v="0"/>
    <x v="1"/>
    <x v="2"/>
    <x v="720"/>
    <n v="5870.15"/>
    <s v="Dec"/>
    <n v="12"/>
    <x v="720"/>
  </r>
  <r>
    <d v="2023-12-23T00:00:00"/>
    <x v="2"/>
    <s v="9901.12"/>
    <s v="8621.14"/>
    <s v="East"/>
    <x v="3"/>
    <x v="0"/>
    <x v="6"/>
    <x v="721"/>
    <n v="8621.14"/>
    <s v="Dec"/>
    <n v="12"/>
    <x v="721"/>
  </r>
  <r>
    <d v="2023-12-24T00:00:00"/>
    <x v="3"/>
    <s v="15329.81"/>
    <s v="14863.76"/>
    <s v="East"/>
    <x v="3"/>
    <x v="1"/>
    <x v="5"/>
    <x v="722"/>
    <n v="14863.76"/>
    <s v="Dec"/>
    <n v="12"/>
    <x v="722"/>
  </r>
  <r>
    <d v="2023-12-25T00:00:00"/>
    <x v="2"/>
    <s v="12288.12"/>
    <s v="12693.2"/>
    <s v="South"/>
    <x v="2"/>
    <x v="1"/>
    <x v="5"/>
    <x v="723"/>
    <n v="12693.2"/>
    <s v="Dec"/>
    <n v="12"/>
    <x v="723"/>
  </r>
  <r>
    <d v="2023-12-26T00:00:00"/>
    <x v="0"/>
    <s v="3582.7"/>
    <s v="3518.07"/>
    <s v="West"/>
    <x v="3"/>
    <x v="1"/>
    <x v="4"/>
    <x v="724"/>
    <n v="3518.07"/>
    <s v="Dec"/>
    <n v="12"/>
    <x v="724"/>
  </r>
  <r>
    <d v="2023-12-27T00:00:00"/>
    <x v="3"/>
    <s v="15568.36"/>
    <s v="16482.96"/>
    <s v="South"/>
    <x v="1"/>
    <x v="0"/>
    <x v="4"/>
    <x v="725"/>
    <n v="16482.96"/>
    <s v="Dec"/>
    <n v="12"/>
    <x v="725"/>
  </r>
  <r>
    <d v="2023-12-28T00:00:00"/>
    <x v="3"/>
    <s v="-2728.69"/>
    <s v="-2846.21"/>
    <s v="South"/>
    <x v="0"/>
    <x v="1"/>
    <x v="4"/>
    <x v="726"/>
    <n v="-2846.21"/>
    <s v="Dec"/>
    <n v="12"/>
    <x v="726"/>
  </r>
  <r>
    <d v="2023-12-29T00:00:00"/>
    <x v="4"/>
    <s v="3804.63"/>
    <s v="3922.28"/>
    <s v="West"/>
    <x v="1"/>
    <x v="0"/>
    <x v="6"/>
    <x v="727"/>
    <n v="3922.28"/>
    <s v="Dec"/>
    <n v="12"/>
    <x v="727"/>
  </r>
  <r>
    <d v="2023-12-30T00:00:00"/>
    <x v="1"/>
    <s v="2026.18"/>
    <s v="2204.63"/>
    <s v="South"/>
    <x v="1"/>
    <x v="0"/>
    <x v="1"/>
    <x v="728"/>
    <n v="2204.63"/>
    <s v="Dec"/>
    <n v="12"/>
    <x v="728"/>
  </r>
  <r>
    <d v="2023-12-31T00:00:00"/>
    <x v="4"/>
    <s v="19904.32"/>
    <s v="19955.91"/>
    <s v="East"/>
    <x v="1"/>
    <x v="1"/>
    <x v="7"/>
    <x v="729"/>
    <n v="19955.91"/>
    <s v="Dec"/>
    <n v="12"/>
    <x v="7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EE8D53-FF0B-4EF9-A636-85C60EDA5C9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Labels">
  <location ref="A7:D23" firstHeaderRow="0" firstDataRow="1" firstDataCol="1"/>
  <pivotFields count="14">
    <pivotField numFmtId="14" showAll="0"/>
    <pivotField showAll="0">
      <items count="6">
        <item x="1"/>
        <item x="4"/>
        <item h="1" x="3"/>
        <item x="2"/>
        <item x="0"/>
        <item t="default"/>
      </items>
    </pivotField>
    <pivotField showAll="0"/>
    <pivotField showAll="0"/>
    <pivotField showAll="0"/>
    <pivotField axis="axisRow" showAll="0">
      <items count="5">
        <item x="2"/>
        <item x="3"/>
        <item x="0"/>
        <item x="1"/>
        <item t="default"/>
      </items>
    </pivotField>
    <pivotField axis="axisRow" showAll="0">
      <items count="4">
        <item x="2"/>
        <item x="1"/>
        <item x="0"/>
        <item t="default"/>
      </items>
    </pivotField>
    <pivotField showAll="0">
      <items count="9">
        <item x="7"/>
        <item x="0"/>
        <item x="1"/>
        <item x="3"/>
        <item x="5"/>
        <item x="4"/>
        <item x="2"/>
        <item x="6"/>
        <item t="default"/>
      </items>
    </pivotField>
    <pivotField dataField="1" showAll="0"/>
    <pivotField dataField="1" showAll="0"/>
    <pivotField showAll="0"/>
    <pivotField showAll="0"/>
    <pivotField dataField="1" numFmtId="9" showAll="0">
      <items count="731">
        <item x="642"/>
        <item x="74"/>
        <item x="368"/>
        <item x="640"/>
        <item x="686"/>
        <item x="418"/>
        <item x="531"/>
        <item x="507"/>
        <item x="680"/>
        <item x="690"/>
        <item x="517"/>
        <item x="97"/>
        <item x="577"/>
        <item x="219"/>
        <item x="464"/>
        <item x="230"/>
        <item x="383"/>
        <item x="32"/>
        <item x="424"/>
        <item x="483"/>
        <item x="535"/>
        <item x="530"/>
        <item x="378"/>
        <item x="118"/>
        <item x="337"/>
        <item x="675"/>
        <item x="257"/>
        <item x="516"/>
        <item x="404"/>
        <item x="201"/>
        <item x="457"/>
        <item x="269"/>
        <item x="703"/>
        <item x="421"/>
        <item x="512"/>
        <item x="261"/>
        <item x="523"/>
        <item x="213"/>
        <item x="634"/>
        <item x="130"/>
        <item x="446"/>
        <item x="412"/>
        <item x="214"/>
        <item x="422"/>
        <item x="221"/>
        <item x="685"/>
        <item x="69"/>
        <item x="6"/>
        <item x="563"/>
        <item x="356"/>
        <item x="248"/>
        <item x="104"/>
        <item x="222"/>
        <item x="413"/>
        <item x="249"/>
        <item x="335"/>
        <item x="524"/>
        <item x="359"/>
        <item x="448"/>
        <item x="484"/>
        <item x="133"/>
        <item x="601"/>
        <item x="270"/>
        <item x="242"/>
        <item x="674"/>
        <item x="375"/>
        <item x="695"/>
        <item x="619"/>
        <item x="336"/>
        <item x="536"/>
        <item x="340"/>
        <item x="55"/>
        <item x="470"/>
        <item x="472"/>
        <item x="513"/>
        <item x="317"/>
        <item x="450"/>
        <item x="672"/>
        <item x="638"/>
        <item x="600"/>
        <item x="637"/>
        <item x="533"/>
        <item x="91"/>
        <item x="245"/>
        <item x="505"/>
        <item x="99"/>
        <item x="591"/>
        <item x="331"/>
        <item x="49"/>
        <item x="557"/>
        <item x="19"/>
        <item x="381"/>
        <item x="594"/>
        <item x="431"/>
        <item x="466"/>
        <item x="338"/>
        <item x="198"/>
        <item x="366"/>
        <item x="630"/>
        <item x="614"/>
        <item x="11"/>
        <item x="116"/>
        <item x="106"/>
        <item x="584"/>
        <item x="477"/>
        <item x="650"/>
        <item x="728"/>
        <item x="369"/>
        <item x="625"/>
        <item x="330"/>
        <item x="94"/>
        <item x="27"/>
        <item x="348"/>
        <item x="95"/>
        <item x="151"/>
        <item x="334"/>
        <item x="78"/>
        <item x="373"/>
        <item x="357"/>
        <item x="58"/>
        <item x="238"/>
        <item x="193"/>
        <item x="691"/>
        <item x="344"/>
        <item x="258"/>
        <item x="345"/>
        <item x="452"/>
        <item x="52"/>
        <item x="280"/>
        <item x="209"/>
        <item x="41"/>
        <item x="578"/>
        <item x="367"/>
        <item x="0"/>
        <item x="390"/>
        <item x="319"/>
        <item x="410"/>
        <item x="56"/>
        <item x="108"/>
        <item x="519"/>
        <item x="552"/>
        <item x="717"/>
        <item x="471"/>
        <item x="190"/>
        <item x="644"/>
        <item x="406"/>
        <item x="490"/>
        <item x="597"/>
        <item x="20"/>
        <item x="670"/>
        <item x="468"/>
        <item x="274"/>
        <item x="139"/>
        <item x="384"/>
        <item x="659"/>
        <item x="147"/>
        <item x="252"/>
        <item x="689"/>
        <item x="575"/>
        <item x="409"/>
        <item x="204"/>
        <item x="185"/>
        <item x="161"/>
        <item x="194"/>
        <item x="408"/>
        <item x="426"/>
        <item x="526"/>
        <item x="28"/>
        <item x="725"/>
        <item x="486"/>
        <item x="267"/>
        <item x="479"/>
        <item x="474"/>
        <item x="244"/>
        <item x="494"/>
        <item x="127"/>
        <item x="389"/>
        <item x="541"/>
        <item x="189"/>
        <item x="455"/>
        <item x="696"/>
        <item x="109"/>
        <item x="87"/>
        <item x="621"/>
        <item x="613"/>
        <item x="89"/>
        <item x="287"/>
        <item x="420"/>
        <item x="481"/>
        <item x="607"/>
        <item x="163"/>
        <item x="503"/>
        <item x="576"/>
        <item x="165"/>
        <item x="385"/>
        <item x="645"/>
        <item x="292"/>
        <item x="443"/>
        <item x="622"/>
        <item x="442"/>
        <item x="272"/>
        <item x="112"/>
        <item x="93"/>
        <item x="495"/>
        <item x="615"/>
        <item x="423"/>
        <item x="713"/>
        <item x="197"/>
        <item x="103"/>
        <item x="482"/>
        <item x="79"/>
        <item x="23"/>
        <item x="726"/>
        <item x="626"/>
        <item x="135"/>
        <item x="62"/>
        <item x="170"/>
        <item x="544"/>
        <item x="18"/>
        <item x="282"/>
        <item x="174"/>
        <item x="669"/>
        <item x="437"/>
        <item x="699"/>
        <item x="285"/>
        <item x="200"/>
        <item x="128"/>
        <item x="371"/>
        <item x="706"/>
        <item x="145"/>
        <item x="394"/>
        <item x="598"/>
        <item x="326"/>
        <item x="166"/>
        <item x="604"/>
        <item x="320"/>
        <item x="328"/>
        <item x="379"/>
        <item x="711"/>
        <item x="538"/>
        <item x="473"/>
        <item x="510"/>
        <item x="616"/>
        <item x="610"/>
        <item x="155"/>
        <item x="304"/>
        <item x="609"/>
        <item x="25"/>
        <item x="51"/>
        <item x="440"/>
        <item x="159"/>
        <item x="681"/>
        <item x="4"/>
        <item x="723"/>
        <item x="589"/>
        <item x="246"/>
        <item x="365"/>
        <item x="120"/>
        <item x="355"/>
        <item x="180"/>
        <item x="203"/>
        <item x="9"/>
        <item x="501"/>
        <item x="727"/>
        <item x="488"/>
        <item x="68"/>
        <item x="31"/>
        <item x="54"/>
        <item x="684"/>
        <item x="154"/>
        <item x="254"/>
        <item x="693"/>
        <item x="504"/>
        <item x="648"/>
        <item x="178"/>
        <item x="121"/>
        <item x="593"/>
        <item x="205"/>
        <item x="430"/>
        <item x="226"/>
        <item x="467"/>
        <item x="462"/>
        <item x="677"/>
        <item x="210"/>
        <item x="105"/>
        <item x="207"/>
        <item x="476"/>
        <item x="241"/>
        <item x="279"/>
        <item x="502"/>
        <item x="256"/>
        <item x="465"/>
        <item x="694"/>
        <item x="305"/>
        <item x="172"/>
        <item x="297"/>
        <item x="429"/>
        <item x="63"/>
        <item x="364"/>
        <item x="114"/>
        <item x="289"/>
        <item x="315"/>
        <item x="225"/>
        <item x="620"/>
        <item x="527"/>
        <item x="117"/>
        <item x="692"/>
        <item x="286"/>
        <item x="129"/>
        <item x="39"/>
        <item x="417"/>
        <item x="451"/>
        <item x="714"/>
        <item x="227"/>
        <item x="673"/>
        <item x="216"/>
        <item x="360"/>
        <item x="16"/>
        <item x="553"/>
        <item x="324"/>
        <item x="657"/>
        <item x="321"/>
        <item x="709"/>
        <item x="603"/>
        <item x="342"/>
        <item x="3"/>
        <item x="126"/>
        <item x="64"/>
        <item x="137"/>
        <item x="346"/>
        <item x="107"/>
        <item x="667"/>
        <item x="529"/>
        <item x="441"/>
        <item x="628"/>
        <item x="234"/>
        <item x="229"/>
        <item x="80"/>
        <item x="308"/>
        <item x="556"/>
        <item x="86"/>
        <item x="678"/>
        <item x="679"/>
        <item x="187"/>
        <item x="571"/>
        <item x="288"/>
        <item x="559"/>
        <item x="376"/>
        <item x="140"/>
        <item x="247"/>
        <item x="329"/>
        <item x="309"/>
        <item x="700"/>
        <item x="92"/>
        <item x="284"/>
        <item x="71"/>
        <item x="641"/>
        <item x="392"/>
        <item x="7"/>
        <item x="65"/>
        <item x="671"/>
        <item x="525"/>
        <item x="175"/>
        <item x="302"/>
        <item x="506"/>
        <item x="208"/>
        <item x="588"/>
        <item x="393"/>
        <item x="253"/>
        <item x="327"/>
        <item x="218"/>
        <item x="76"/>
        <item x="57"/>
        <item x="343"/>
        <item x="582"/>
        <item x="729"/>
        <item x="652"/>
        <item x="660"/>
        <item x="654"/>
        <item x="646"/>
        <item x="403"/>
        <item x="142"/>
        <item x="312"/>
        <item x="414"/>
        <item x="17"/>
        <item x="445"/>
        <item x="176"/>
        <item x="400"/>
        <item x="716"/>
        <item x="560"/>
        <item x="146"/>
        <item x="537"/>
        <item x="710"/>
        <item x="44"/>
        <item x="460"/>
        <item x="712"/>
        <item x="314"/>
        <item x="21"/>
        <item x="419"/>
        <item x="453"/>
        <item x="136"/>
        <item x="374"/>
        <item x="398"/>
        <item x="395"/>
        <item x="293"/>
        <item x="508"/>
        <item x="37"/>
        <item x="585"/>
        <item x="487"/>
        <item x="90"/>
        <item x="461"/>
        <item x="231"/>
        <item x="61"/>
        <item x="370"/>
        <item x="564"/>
        <item x="43"/>
        <item x="568"/>
        <item x="83"/>
        <item x="489"/>
        <item x="260"/>
        <item x="45"/>
        <item x="152"/>
        <item x="661"/>
        <item x="532"/>
        <item x="66"/>
        <item x="606"/>
        <item x="402"/>
        <item x="50"/>
        <item x="358"/>
        <item x="372"/>
        <item x="458"/>
        <item x="239"/>
        <item x="24"/>
        <item x="688"/>
        <item x="655"/>
        <item x="493"/>
        <item x="132"/>
        <item x="13"/>
        <item x="232"/>
        <item x="40"/>
        <item x="592"/>
        <item x="235"/>
        <item x="509"/>
        <item x="224"/>
        <item x="115"/>
        <item x="702"/>
        <item x="485"/>
        <item x="265"/>
        <item x="301"/>
        <item x="586"/>
        <item x="521"/>
        <item x="233"/>
        <item x="514"/>
        <item x="492"/>
        <item x="323"/>
        <item x="718"/>
        <item x="243"/>
        <item x="303"/>
        <item x="565"/>
        <item x="14"/>
        <item x="618"/>
        <item x="500"/>
        <item x="119"/>
        <item x="433"/>
        <item x="399"/>
        <item x="570"/>
        <item x="664"/>
        <item x="520"/>
        <item x="715"/>
        <item x="724"/>
        <item x="291"/>
        <item x="298"/>
        <item x="262"/>
        <item x="425"/>
        <item x="167"/>
        <item x="299"/>
        <item x="113"/>
        <item x="623"/>
        <item x="277"/>
        <item x="542"/>
        <item x="515"/>
        <item x="612"/>
        <item x="665"/>
        <item x="36"/>
        <item x="377"/>
        <item x="534"/>
        <item x="29"/>
        <item x="333"/>
        <item x="498"/>
        <item x="48"/>
        <item x="143"/>
        <item x="605"/>
        <item x="73"/>
        <item x="704"/>
        <item x="627"/>
        <item x="701"/>
        <item x="580"/>
        <item x="263"/>
        <item x="708"/>
        <item x="300"/>
        <item x="347"/>
        <item x="496"/>
        <item x="491"/>
        <item x="436"/>
        <item x="550"/>
        <item x="354"/>
        <item x="643"/>
        <item x="353"/>
        <item x="380"/>
        <item x="307"/>
        <item x="202"/>
        <item x="273"/>
        <item x="264"/>
        <item x="722"/>
        <item x="259"/>
        <item x="251"/>
        <item x="663"/>
        <item x="687"/>
        <item x="275"/>
        <item x="150"/>
        <item x="558"/>
        <item x="70"/>
        <item x="651"/>
        <item x="435"/>
        <item x="46"/>
        <item x="98"/>
        <item x="199"/>
        <item x="573"/>
        <item x="148"/>
        <item x="635"/>
        <item x="47"/>
        <item x="599"/>
        <item x="528"/>
        <item x="444"/>
        <item x="540"/>
        <item x="555"/>
        <item x="42"/>
        <item x="387"/>
        <item x="217"/>
        <item x="499"/>
        <item x="158"/>
        <item x="266"/>
        <item x="386"/>
        <item x="160"/>
        <item x="617"/>
        <item x="168"/>
        <item x="59"/>
        <item x="705"/>
        <item x="271"/>
        <item x="411"/>
        <item x="611"/>
        <item x="223"/>
        <item x="124"/>
        <item x="60"/>
        <item x="562"/>
        <item x="401"/>
        <item x="311"/>
        <item x="624"/>
        <item x="631"/>
        <item x="215"/>
        <item x="188"/>
        <item x="310"/>
        <item x="396"/>
        <item x="397"/>
        <item x="647"/>
        <item x="182"/>
        <item x="439"/>
        <item x="157"/>
        <item x="707"/>
        <item x="88"/>
        <item x="332"/>
        <item x="173"/>
        <item x="268"/>
        <item x="184"/>
        <item x="349"/>
        <item x="72"/>
        <item x="186"/>
        <item x="33"/>
        <item x="447"/>
        <item x="653"/>
        <item x="682"/>
        <item x="75"/>
        <item x="554"/>
        <item x="156"/>
        <item x="35"/>
        <item x="206"/>
        <item x="545"/>
        <item x="480"/>
        <item x="85"/>
        <item x="295"/>
        <item x="171"/>
        <item x="518"/>
        <item x="629"/>
        <item x="561"/>
        <item x="567"/>
        <item x="658"/>
        <item x="183"/>
        <item x="639"/>
        <item x="281"/>
        <item x="668"/>
        <item x="590"/>
        <item x="352"/>
        <item x="111"/>
        <item x="649"/>
        <item x="391"/>
        <item x="566"/>
        <item x="110"/>
        <item x="522"/>
        <item x="351"/>
        <item x="350"/>
        <item x="595"/>
        <item x="459"/>
        <item x="196"/>
        <item x="318"/>
        <item x="415"/>
        <item x="276"/>
        <item x="211"/>
        <item x="497"/>
        <item x="434"/>
        <item x="278"/>
        <item x="539"/>
        <item x="720"/>
        <item x="306"/>
        <item x="569"/>
        <item x="296"/>
        <item x="177"/>
        <item x="38"/>
        <item x="81"/>
        <item x="12"/>
        <item x="427"/>
        <item x="240"/>
        <item x="283"/>
        <item x="96"/>
        <item x="475"/>
        <item x="53"/>
        <item x="363"/>
        <item x="602"/>
        <item x="596"/>
        <item x="316"/>
        <item x="632"/>
        <item x="325"/>
        <item x="549"/>
        <item x="463"/>
        <item x="547"/>
        <item x="138"/>
        <item x="236"/>
        <item x="382"/>
        <item x="191"/>
        <item x="169"/>
        <item x="428"/>
        <item x="456"/>
        <item x="10"/>
        <item x="125"/>
        <item x="633"/>
        <item x="469"/>
        <item x="255"/>
        <item x="67"/>
        <item x="454"/>
        <item x="141"/>
        <item x="144"/>
        <item x="153"/>
        <item x="34"/>
        <item x="511"/>
        <item x="100"/>
        <item x="15"/>
        <item x="362"/>
        <item x="341"/>
        <item x="8"/>
        <item x="164"/>
        <item x="2"/>
        <item x="122"/>
        <item x="683"/>
        <item x="407"/>
        <item x="82"/>
        <item x="195"/>
        <item x="22"/>
        <item x="77"/>
        <item x="179"/>
        <item x="313"/>
        <item x="583"/>
        <item x="666"/>
        <item x="405"/>
        <item x="134"/>
        <item x="131"/>
        <item x="676"/>
        <item x="719"/>
        <item x="662"/>
        <item x="449"/>
        <item x="123"/>
        <item x="721"/>
        <item x="587"/>
        <item x="572"/>
        <item x="162"/>
        <item x="290"/>
        <item x="697"/>
        <item x="361"/>
        <item x="84"/>
        <item x="192"/>
        <item x="5"/>
        <item x="26"/>
        <item x="212"/>
        <item x="101"/>
        <item x="551"/>
        <item x="30"/>
        <item x="339"/>
        <item x="1"/>
        <item x="636"/>
        <item x="432"/>
        <item x="181"/>
        <item x="228"/>
        <item x="416"/>
        <item x="388"/>
        <item x="581"/>
        <item x="579"/>
        <item x="237"/>
        <item x="322"/>
        <item x="250"/>
        <item x="546"/>
        <item x="102"/>
        <item x="478"/>
        <item x="608"/>
        <item x="438"/>
        <item x="574"/>
        <item x="220"/>
        <item x="294"/>
        <item x="548"/>
        <item x="698"/>
        <item x="543"/>
        <item x="149"/>
        <item x="656"/>
        <item t="default"/>
      </items>
    </pivotField>
    <pivotField dragToRow="0" dragToCol="0" dragToPage="0" showAll="0" defaultSubtotal="0"/>
  </pivotFields>
  <rowFields count="2">
    <field x="6"/>
    <field x="5"/>
  </rowFields>
  <rowItems count="16">
    <i>
      <x/>
    </i>
    <i r="1">
      <x/>
    </i>
    <i r="1">
      <x v="1"/>
    </i>
    <i r="1">
      <x v="2"/>
    </i>
    <i r="1">
      <x v="3"/>
    </i>
    <i>
      <x v="1"/>
    </i>
    <i r="1">
      <x/>
    </i>
    <i r="1">
      <x v="1"/>
    </i>
    <i r="1">
      <x v="2"/>
    </i>
    <i r="1">
      <x v="3"/>
    </i>
    <i>
      <x v="2"/>
    </i>
    <i r="1">
      <x/>
    </i>
    <i r="1">
      <x v="1"/>
    </i>
    <i r="1">
      <x v="2"/>
    </i>
    <i r="1">
      <x v="3"/>
    </i>
    <i t="grand">
      <x/>
    </i>
  </rowItems>
  <colFields count="1">
    <field x="-2"/>
  </colFields>
  <colItems count="3">
    <i>
      <x/>
    </i>
    <i i="1">
      <x v="1"/>
    </i>
    <i i="2">
      <x v="2"/>
    </i>
  </colItems>
  <dataFields count="3">
    <dataField name=" Sales_ Amount" fld="8" baseField="0" baseItem="0"/>
    <dataField name=" Sales_Target" fld="9" baseField="0" baseItem="0"/>
    <dataField name=" Achievement %" fld="12" subtotal="average" baseField="6" baseItem="0" numFmtId="9"/>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17B27F-5121-4D36-AF95-16CD00CBBE76}" autoFormatId="16" applyNumberFormats="0" applyBorderFormats="0" applyFontFormats="0" applyPatternFormats="0" applyAlignmentFormats="0" applyWidthHeightFormats="0">
  <queryTableRefresh nextId="14" unboundColumnsRight="1">
    <queryTableFields count="11">
      <queryTableField id="1" name="Sale Date" tableColumnId="1"/>
      <queryTableField id="2" name="Product Name" tableColumnId="2"/>
      <queryTableField id="5" name="Region" tableColumnId="5"/>
      <queryTableField id="6" name="Sales Representative" tableColumnId="6"/>
      <queryTableField id="7" name="Sales Team" tableColumnId="7"/>
      <queryTableField id="8" name="Customer Segment" tableColumnId="8"/>
      <queryTableField id="9" name="SalesAmount_Clean" tableColumnId="9"/>
      <queryTableField id="10" name="SalesTarget_Clean" tableColumnId="10"/>
      <queryTableField id="11" name="Customed Sales Date" tableColumnId="11"/>
      <queryTableField id="12" name="Month" tableColumnId="12"/>
      <queryTableField id="13" dataBound="0" tableColumnId="13"/>
    </queryTableFields>
    <queryTableDeletedFields count="2">
      <deletedField name="Sales Amount"/>
      <deletedField name="Sales Targe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8381B22-F6F7-48EE-871C-05D8EA7B45FC}" sourceName="Product Name">
  <pivotTables>
    <pivotTable tabId="4" name="PivotTable2"/>
  </pivotTables>
  <data>
    <tabular pivotCacheId="549512439">
      <items count="5">
        <i x="1" s="1"/>
        <i x="4" s="1"/>
        <i x="3"/>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B3C4F483-FB6E-44F8-87AD-83E908D10D0A}" cache="Slicer_Product_Name" caption="Product Name" columnCount="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6AE6D3-E28A-4EEB-A694-14463B0A4D3C}" name="actual_vs_target_sales_dataset" displayName="actual_vs_target_sales_dataset" ref="A1:K731" tableType="queryTable" totalsRowShown="0" headerRowDxfId="12" dataDxfId="11">
  <autoFilter ref="A1:K731" xr:uid="{BC6AE6D3-E28A-4EEB-A694-14463B0A4D3C}"/>
  <tableColumns count="11">
    <tableColumn id="1" xr3:uid="{4558BB1D-927D-438D-AE4E-37253C518D4B}" uniqueName="1" name="Sale Date" queryTableFieldId="1" dataDxfId="10"/>
    <tableColumn id="2" xr3:uid="{4901C24A-1D86-4D2D-AE75-FC51785630F9}" uniqueName="2" name="Product Name" queryTableFieldId="2" dataDxfId="9"/>
    <tableColumn id="5" xr3:uid="{5F15FE37-77EF-40BB-8764-02E77C591071}" uniqueName="5" name="Region" queryTableFieldId="5" dataDxfId="8"/>
    <tableColumn id="6" xr3:uid="{E3DCF751-0D15-4A8B-BDAF-5E234FB2DA6B}" uniqueName="6" name="Sales Representative" queryTableFieldId="6" dataDxfId="7"/>
    <tableColumn id="7" xr3:uid="{9DC380B7-1B82-4DA3-80A2-795EB5F2A408}" uniqueName="7" name="Sales Team" queryTableFieldId="7" dataDxfId="6"/>
    <tableColumn id="8" xr3:uid="{92636B27-2BF8-47AC-8DFC-0E1DBD9C29B4}" uniqueName="8" name="Customer Segment" queryTableFieldId="8" dataDxfId="5"/>
    <tableColumn id="9" xr3:uid="{8BA546BC-A23A-40EC-8CC3-AA39E965900E}" uniqueName="9" name="Sales_ Amount" queryTableFieldId="9" dataDxfId="4"/>
    <tableColumn id="10" xr3:uid="{C477A389-9F6B-4C3E-B29E-A7502EF53CD6}" uniqueName="10" name="Sales_Target" queryTableFieldId="10" dataDxfId="3"/>
    <tableColumn id="11" xr3:uid="{DE06299F-2280-404C-A88B-BCC460FF716F}" uniqueName="11" name="Sales_Date" queryTableFieldId="11" dataDxfId="2"/>
    <tableColumn id="12" xr3:uid="{1A433F2C-6906-4BBC-AAD6-75D232868B4A}" uniqueName="12" name="Month" queryTableFieldId="12" dataDxfId="1"/>
    <tableColumn id="13" xr3:uid="{02D6C86D-0F22-4EB6-85D6-F98D1464083D}" uniqueName="13" name="Achievement %" queryTableFieldId="13" dataDxfId="0" dataCellStyle="Percent">
      <calculatedColumnFormula>actual_vs_target_sales_dataset[[#This Row],[Sales_ Amount]]/actual_vs_target_sales_dataset[[#This Row],[Sales_Target]]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413D1-0D2B-4C80-AB91-9CA36BAA4C2D}">
  <dimension ref="A7:D23"/>
  <sheetViews>
    <sheetView showGridLines="0" workbookViewId="0">
      <selection activeCell="E25" sqref="E25"/>
    </sheetView>
  </sheetViews>
  <sheetFormatPr defaultRowHeight="14.4" x14ac:dyDescent="0.3"/>
  <cols>
    <col min="1" max="1" width="14.77734375" bestFit="1" customWidth="1"/>
    <col min="2" max="2" width="13.5546875" bestFit="1" customWidth="1"/>
    <col min="3" max="3" width="11.77734375" bestFit="1" customWidth="1"/>
    <col min="4" max="4" width="14.21875" bestFit="1" customWidth="1"/>
    <col min="5" max="5" width="20" bestFit="1" customWidth="1"/>
    <col min="6" max="6" width="19.33203125" bestFit="1" customWidth="1"/>
    <col min="7" max="7" width="17.6640625" bestFit="1" customWidth="1"/>
    <col min="8" max="8" width="19.33203125" bestFit="1" customWidth="1"/>
    <col min="9" max="9" width="17.6640625" bestFit="1" customWidth="1"/>
    <col min="10" max="10" width="19.33203125" bestFit="1" customWidth="1"/>
    <col min="11" max="11" width="17.6640625" bestFit="1" customWidth="1"/>
    <col min="12" max="12" width="19.33203125" bestFit="1" customWidth="1"/>
    <col min="13" max="13" width="17.6640625" bestFit="1" customWidth="1"/>
    <col min="14" max="14" width="19.33203125" bestFit="1" customWidth="1"/>
    <col min="15" max="15" width="17.6640625" bestFit="1" customWidth="1"/>
    <col min="16" max="16" width="19.33203125" bestFit="1" customWidth="1"/>
    <col min="17" max="17" width="17.6640625" bestFit="1" customWidth="1"/>
    <col min="18" max="18" width="23.88671875" bestFit="1" customWidth="1"/>
    <col min="19" max="19" width="22.21875" bestFit="1" customWidth="1"/>
  </cols>
  <sheetData>
    <row r="7" spans="1:4" x14ac:dyDescent="0.3">
      <c r="A7" s="6" t="s">
        <v>51</v>
      </c>
      <c r="B7" t="s">
        <v>48</v>
      </c>
      <c r="C7" t="s">
        <v>49</v>
      </c>
      <c r="D7" t="s">
        <v>50</v>
      </c>
    </row>
    <row r="8" spans="1:4" x14ac:dyDescent="0.3">
      <c r="A8" s="7" t="s">
        <v>21</v>
      </c>
      <c r="B8" s="10">
        <v>1475390.1700000013</v>
      </c>
      <c r="C8" s="10">
        <v>1485120.6999999997</v>
      </c>
      <c r="D8" s="9">
        <v>1.0013520116306218</v>
      </c>
    </row>
    <row r="9" spans="1:4" x14ac:dyDescent="0.3">
      <c r="A9" s="8" t="s">
        <v>18</v>
      </c>
      <c r="B9" s="10">
        <v>371816.44</v>
      </c>
      <c r="C9" s="10">
        <v>377569.82</v>
      </c>
      <c r="D9" s="9">
        <v>0.98798037173956166</v>
      </c>
    </row>
    <row r="10" spans="1:4" x14ac:dyDescent="0.3">
      <c r="A10" s="8" t="s">
        <v>24</v>
      </c>
      <c r="B10" s="10">
        <v>315983.79999999993</v>
      </c>
      <c r="C10" s="10">
        <v>316794.57</v>
      </c>
      <c r="D10" s="9">
        <v>1.0183987005887218</v>
      </c>
    </row>
    <row r="11" spans="1:4" x14ac:dyDescent="0.3">
      <c r="A11" s="8" t="s">
        <v>9</v>
      </c>
      <c r="B11" s="10">
        <v>410543.96000000008</v>
      </c>
      <c r="C11" s="10">
        <v>408694.62999999995</v>
      </c>
      <c r="D11" s="9">
        <v>1.0042584218124779</v>
      </c>
    </row>
    <row r="12" spans="1:4" x14ac:dyDescent="0.3">
      <c r="A12" s="8" t="s">
        <v>15</v>
      </c>
      <c r="B12" s="10">
        <v>377045.97000000003</v>
      </c>
      <c r="C12" s="10">
        <v>382061.68000000005</v>
      </c>
      <c r="D12" s="9">
        <v>0.99772461581827077</v>
      </c>
    </row>
    <row r="13" spans="1:4" x14ac:dyDescent="0.3">
      <c r="A13" s="7" t="s">
        <v>19</v>
      </c>
      <c r="B13" s="10">
        <v>1470525.8000000003</v>
      </c>
      <c r="C13" s="10">
        <v>1479799.8199999994</v>
      </c>
      <c r="D13" s="9">
        <v>1.003113387020367</v>
      </c>
    </row>
    <row r="14" spans="1:4" x14ac:dyDescent="0.3">
      <c r="A14" s="8" t="s">
        <v>18</v>
      </c>
      <c r="B14" s="10">
        <v>501879.59000000008</v>
      </c>
      <c r="C14" s="10">
        <v>502294.99999999983</v>
      </c>
      <c r="D14" s="9">
        <v>1.0075387875130255</v>
      </c>
    </row>
    <row r="15" spans="1:4" x14ac:dyDescent="0.3">
      <c r="A15" s="8" t="s">
        <v>24</v>
      </c>
      <c r="B15" s="10">
        <v>300519.37000000005</v>
      </c>
      <c r="C15" s="10">
        <v>310231.16000000003</v>
      </c>
      <c r="D15" s="9">
        <v>0.98123939917039282</v>
      </c>
    </row>
    <row r="16" spans="1:4" x14ac:dyDescent="0.3">
      <c r="A16" s="8" t="s">
        <v>9</v>
      </c>
      <c r="B16" s="10">
        <v>345689.70999999996</v>
      </c>
      <c r="C16" s="10">
        <v>342069.1700000001</v>
      </c>
      <c r="D16" s="9">
        <v>1.0217006519183072</v>
      </c>
    </row>
    <row r="17" spans="1:4" x14ac:dyDescent="0.3">
      <c r="A17" s="8" t="s">
        <v>15</v>
      </c>
      <c r="B17" s="10">
        <v>322437.13000000006</v>
      </c>
      <c r="C17" s="10">
        <v>325204.49</v>
      </c>
      <c r="D17" s="9">
        <v>0.99964655133298042</v>
      </c>
    </row>
    <row r="18" spans="1:4" x14ac:dyDescent="0.3">
      <c r="A18" s="7" t="s">
        <v>10</v>
      </c>
      <c r="B18" s="10">
        <v>1260054.7899999998</v>
      </c>
      <c r="C18" s="10">
        <v>1278190.2400000005</v>
      </c>
      <c r="D18" s="9">
        <v>0.99976406542095075</v>
      </c>
    </row>
    <row r="19" spans="1:4" x14ac:dyDescent="0.3">
      <c r="A19" s="8" t="s">
        <v>18</v>
      </c>
      <c r="B19" s="10">
        <v>254024.86000000004</v>
      </c>
      <c r="C19" s="10">
        <v>252625.39000000004</v>
      </c>
      <c r="D19" s="9">
        <v>1.0089787131399195</v>
      </c>
    </row>
    <row r="20" spans="1:4" x14ac:dyDescent="0.3">
      <c r="A20" s="8" t="s">
        <v>24</v>
      </c>
      <c r="B20" s="10">
        <v>272280.72000000003</v>
      </c>
      <c r="C20" s="10">
        <v>272009.8899999999</v>
      </c>
      <c r="D20" s="9">
        <v>1.0066378472713287</v>
      </c>
    </row>
    <row r="21" spans="1:4" x14ac:dyDescent="0.3">
      <c r="A21" s="8" t="s">
        <v>9</v>
      </c>
      <c r="B21" s="10">
        <v>425463.11</v>
      </c>
      <c r="C21" s="10">
        <v>441824.20999999996</v>
      </c>
      <c r="D21" s="9">
        <v>0.9742718091929865</v>
      </c>
    </row>
    <row r="22" spans="1:4" x14ac:dyDescent="0.3">
      <c r="A22" s="8" t="s">
        <v>15</v>
      </c>
      <c r="B22" s="10">
        <v>308286.09999999998</v>
      </c>
      <c r="C22" s="10">
        <v>311730.75000000006</v>
      </c>
      <c r="D22" s="9">
        <v>1.0177162182628865</v>
      </c>
    </row>
    <row r="23" spans="1:4" x14ac:dyDescent="0.3">
      <c r="A23" s="7" t="s">
        <v>44</v>
      </c>
      <c r="B23" s="10">
        <v>4205970.759999997</v>
      </c>
      <c r="C23" s="10">
        <v>4243110.7600000035</v>
      </c>
      <c r="D23" s="9">
        <v>1.0014660996070777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01377-A91D-4513-8E1B-7FE543125C46}">
  <dimension ref="A1:L731"/>
  <sheetViews>
    <sheetView tabSelected="1" workbookViewId="0">
      <selection activeCell="I16" sqref="I16"/>
    </sheetView>
  </sheetViews>
  <sheetFormatPr defaultRowHeight="14.4" x14ac:dyDescent="0.3"/>
  <cols>
    <col min="1" max="1" width="11.109375" bestFit="1" customWidth="1"/>
    <col min="2" max="2" width="15.109375" bestFit="1" customWidth="1"/>
    <col min="3" max="3" width="8.77734375" bestFit="1" customWidth="1"/>
    <col min="4" max="4" width="20.88671875" bestFit="1" customWidth="1"/>
    <col min="5" max="5" width="12.6640625" bestFit="1" customWidth="1"/>
    <col min="6" max="6" width="19.109375" bestFit="1" customWidth="1"/>
    <col min="7" max="7" width="20" bestFit="1" customWidth="1"/>
    <col min="8" max="8" width="18.5546875" bestFit="1" customWidth="1"/>
    <col min="9" max="9" width="21.109375" bestFit="1" customWidth="1"/>
    <col min="10" max="10" width="8.33203125" customWidth="1"/>
    <col min="11" max="11" width="8.88671875" style="4"/>
  </cols>
  <sheetData>
    <row r="1" spans="1:11" x14ac:dyDescent="0.3">
      <c r="A1" s="1" t="s">
        <v>0</v>
      </c>
      <c r="B1" s="1" t="s">
        <v>1</v>
      </c>
      <c r="C1" s="1" t="s">
        <v>2</v>
      </c>
      <c r="D1" s="1" t="s">
        <v>3</v>
      </c>
      <c r="E1" s="1" t="s">
        <v>4</v>
      </c>
      <c r="F1" s="1" t="s">
        <v>5</v>
      </c>
      <c r="G1" s="1" t="s">
        <v>46</v>
      </c>
      <c r="H1" s="1" t="s">
        <v>45</v>
      </c>
      <c r="I1" s="1" t="s">
        <v>47</v>
      </c>
      <c r="J1" s="1" t="s">
        <v>6</v>
      </c>
      <c r="K1" s="4" t="s">
        <v>43</v>
      </c>
    </row>
    <row r="2" spans="1:11" x14ac:dyDescent="0.3">
      <c r="A2" s="2">
        <v>44562</v>
      </c>
      <c r="B2" s="3" t="s">
        <v>7</v>
      </c>
      <c r="C2" s="3" t="s">
        <v>8</v>
      </c>
      <c r="D2" s="3" t="s">
        <v>9</v>
      </c>
      <c r="E2" s="3" t="s">
        <v>10</v>
      </c>
      <c r="F2" s="3" t="s">
        <v>11</v>
      </c>
      <c r="G2" s="3">
        <v>13962.08</v>
      </c>
      <c r="H2" s="3">
        <v>15035.8</v>
      </c>
      <c r="I2" s="3" t="s">
        <v>12</v>
      </c>
      <c r="J2" s="3">
        <v>1</v>
      </c>
      <c r="K2" s="5">
        <f>actual_vs_target_sales_dataset[[#This Row],[Sales_ Amount]]/actual_vs_target_sales_dataset[[#This Row],[Sales_Target]]</f>
        <v>0.92858910067971112</v>
      </c>
    </row>
    <row r="3" spans="1:11" x14ac:dyDescent="0.3">
      <c r="A3" s="2">
        <v>44563</v>
      </c>
      <c r="B3" s="3" t="s">
        <v>13</v>
      </c>
      <c r="C3" s="3" t="s">
        <v>14</v>
      </c>
      <c r="D3" s="3" t="s">
        <v>15</v>
      </c>
      <c r="E3" s="3" t="s">
        <v>10</v>
      </c>
      <c r="F3" s="3" t="s">
        <v>16</v>
      </c>
      <c r="G3" s="3">
        <v>7559.78</v>
      </c>
      <c r="H3" s="3">
        <v>6458.58</v>
      </c>
      <c r="I3" s="3" t="s">
        <v>12</v>
      </c>
      <c r="J3" s="3">
        <v>1</v>
      </c>
      <c r="K3" s="5">
        <f>actual_vs_target_sales_dataset[[#This Row],[Sales_ Amount]]/actual_vs_target_sales_dataset[[#This Row],[Sales_Target]]</f>
        <v>1.1705018750251603</v>
      </c>
    </row>
    <row r="4" spans="1:11" x14ac:dyDescent="0.3">
      <c r="A4" s="2">
        <v>44564</v>
      </c>
      <c r="B4" s="3" t="s">
        <v>17</v>
      </c>
      <c r="C4" s="3" t="s">
        <v>14</v>
      </c>
      <c r="D4" s="3" t="s">
        <v>18</v>
      </c>
      <c r="E4" s="3" t="s">
        <v>19</v>
      </c>
      <c r="F4" s="3" t="s">
        <v>11</v>
      </c>
      <c r="G4" s="3">
        <v>-6941.61</v>
      </c>
      <c r="H4" s="3">
        <v>-6164.43</v>
      </c>
      <c r="I4" s="3" t="s">
        <v>12</v>
      </c>
      <c r="J4" s="3">
        <v>1</v>
      </c>
      <c r="K4" s="5">
        <f>actual_vs_target_sales_dataset[[#This Row],[Sales_ Amount]]/actual_vs_target_sales_dataset[[#This Row],[Sales_Target]]</f>
        <v>1.1260749169022926</v>
      </c>
    </row>
    <row r="5" spans="1:11" x14ac:dyDescent="0.3">
      <c r="A5" s="2">
        <v>44565</v>
      </c>
      <c r="B5" s="3" t="s">
        <v>20</v>
      </c>
      <c r="C5" s="3" t="s">
        <v>14</v>
      </c>
      <c r="D5" s="3" t="s">
        <v>15</v>
      </c>
      <c r="E5" s="3" t="s">
        <v>21</v>
      </c>
      <c r="F5" s="3" t="s">
        <v>16</v>
      </c>
      <c r="G5" s="3">
        <v>16388.47</v>
      </c>
      <c r="H5" s="3">
        <v>16636.95</v>
      </c>
      <c r="I5" s="3" t="s">
        <v>12</v>
      </c>
      <c r="J5" s="3">
        <v>1</v>
      </c>
      <c r="K5" s="5">
        <f>actual_vs_target_sales_dataset[[#This Row],[Sales_ Amount]]/actual_vs_target_sales_dataset[[#This Row],[Sales_Target]]</f>
        <v>0.98506457012853921</v>
      </c>
    </row>
    <row r="6" spans="1:11" x14ac:dyDescent="0.3">
      <c r="A6" s="2">
        <v>44566</v>
      </c>
      <c r="B6" s="3" t="s">
        <v>17</v>
      </c>
      <c r="C6" s="3" t="s">
        <v>22</v>
      </c>
      <c r="D6" s="3" t="s">
        <v>15</v>
      </c>
      <c r="E6" s="3" t="s">
        <v>19</v>
      </c>
      <c r="F6" s="3" t="s">
        <v>16</v>
      </c>
      <c r="G6" s="3">
        <v>11788.56</v>
      </c>
      <c r="H6" s="3">
        <v>12178.41</v>
      </c>
      <c r="I6" s="3" t="s">
        <v>12</v>
      </c>
      <c r="J6" s="3">
        <v>1</v>
      </c>
      <c r="K6" s="5">
        <f>actual_vs_target_sales_dataset[[#This Row],[Sales_ Amount]]/actual_vs_target_sales_dataset[[#This Row],[Sales_Target]]</f>
        <v>0.9679884319874269</v>
      </c>
    </row>
    <row r="7" spans="1:11" x14ac:dyDescent="0.3">
      <c r="A7" s="2">
        <v>44567</v>
      </c>
      <c r="B7" s="3" t="s">
        <v>23</v>
      </c>
      <c r="C7" s="3" t="s">
        <v>22</v>
      </c>
      <c r="D7" s="3" t="s">
        <v>24</v>
      </c>
      <c r="E7" s="3" t="s">
        <v>10</v>
      </c>
      <c r="F7" s="3" t="s">
        <v>11</v>
      </c>
      <c r="G7" s="3">
        <v>15408.73</v>
      </c>
      <c r="H7" s="3">
        <v>13256.93</v>
      </c>
      <c r="I7" s="3" t="s">
        <v>12</v>
      </c>
      <c r="J7" s="3">
        <v>1</v>
      </c>
      <c r="K7" s="5">
        <f>actual_vs_target_sales_dataset[[#This Row],[Sales_ Amount]]/actual_vs_target_sales_dataset[[#This Row],[Sales_Target]]</f>
        <v>1.1623151061369412</v>
      </c>
    </row>
    <row r="8" spans="1:11" x14ac:dyDescent="0.3">
      <c r="A8" s="2">
        <v>44568</v>
      </c>
      <c r="B8" s="3" t="s">
        <v>17</v>
      </c>
      <c r="C8" s="3" t="s">
        <v>25</v>
      </c>
      <c r="D8" s="3" t="s">
        <v>24</v>
      </c>
      <c r="E8" s="3" t="s">
        <v>10</v>
      </c>
      <c r="F8" s="3" t="s">
        <v>16</v>
      </c>
      <c r="G8" s="3">
        <v>9572.09</v>
      </c>
      <c r="H8" s="3">
        <v>10822.66</v>
      </c>
      <c r="I8" s="3" t="s">
        <v>12</v>
      </c>
      <c r="J8" s="3">
        <v>1</v>
      </c>
      <c r="K8" s="5">
        <f>actual_vs_target_sales_dataset[[#This Row],[Sales_ Amount]]/actual_vs_target_sales_dataset[[#This Row],[Sales_Target]]</f>
        <v>0.88444892475602122</v>
      </c>
    </row>
    <row r="9" spans="1:11" x14ac:dyDescent="0.3">
      <c r="A9" s="2">
        <v>44569</v>
      </c>
      <c r="B9" s="3" t="s">
        <v>13</v>
      </c>
      <c r="C9" s="3" t="s">
        <v>22</v>
      </c>
      <c r="D9" s="3" t="s">
        <v>18</v>
      </c>
      <c r="E9" s="3" t="s">
        <v>21</v>
      </c>
      <c r="F9" s="3" t="s">
        <v>26</v>
      </c>
      <c r="G9" s="3">
        <v>4702.6899999999996</v>
      </c>
      <c r="H9" s="3">
        <v>4735.75</v>
      </c>
      <c r="I9" s="3" t="s">
        <v>12</v>
      </c>
      <c r="J9" s="3">
        <v>1</v>
      </c>
      <c r="K9" s="5">
        <f>actual_vs_target_sales_dataset[[#This Row],[Sales_ Amount]]/actual_vs_target_sales_dataset[[#This Row],[Sales_Target]]</f>
        <v>0.99301905717151451</v>
      </c>
    </row>
    <row r="10" spans="1:11" x14ac:dyDescent="0.3">
      <c r="A10" s="2">
        <v>44570</v>
      </c>
      <c r="B10" s="3" t="s">
        <v>7</v>
      </c>
      <c r="C10" s="3" t="s">
        <v>14</v>
      </c>
      <c r="D10" s="3" t="s">
        <v>15</v>
      </c>
      <c r="E10" s="3" t="s">
        <v>19</v>
      </c>
      <c r="F10" s="3" t="s">
        <v>27</v>
      </c>
      <c r="G10" s="3">
        <v>7296.39</v>
      </c>
      <c r="H10" s="3">
        <v>6493.59</v>
      </c>
      <c r="I10" s="3" t="s">
        <v>12</v>
      </c>
      <c r="J10" s="3">
        <v>1</v>
      </c>
      <c r="K10" s="5">
        <f>actual_vs_target_sales_dataset[[#This Row],[Sales_ Amount]]/actual_vs_target_sales_dataset[[#This Row],[Sales_Target]]</f>
        <v>1.1236296101232139</v>
      </c>
    </row>
    <row r="11" spans="1:11" x14ac:dyDescent="0.3">
      <c r="A11" s="2">
        <v>44571</v>
      </c>
      <c r="B11" s="3" t="s">
        <v>23</v>
      </c>
      <c r="C11" s="3" t="s">
        <v>22</v>
      </c>
      <c r="D11" s="3" t="s">
        <v>24</v>
      </c>
      <c r="E11" s="3" t="s">
        <v>21</v>
      </c>
      <c r="F11" s="3" t="s">
        <v>26</v>
      </c>
      <c r="G11" s="3">
        <v>10941.19</v>
      </c>
      <c r="H11" s="3">
        <v>11285.09</v>
      </c>
      <c r="I11" s="3" t="s">
        <v>12</v>
      </c>
      <c r="J11" s="3">
        <v>1</v>
      </c>
      <c r="K11" s="5">
        <f>actual_vs_target_sales_dataset[[#This Row],[Sales_ Amount]]/actual_vs_target_sales_dataset[[#This Row],[Sales_Target]]</f>
        <v>0.96952616239657818</v>
      </c>
    </row>
    <row r="12" spans="1:11" x14ac:dyDescent="0.3">
      <c r="A12" s="2">
        <v>44572</v>
      </c>
      <c r="B12" s="3" t="s">
        <v>13</v>
      </c>
      <c r="C12" s="3" t="s">
        <v>25</v>
      </c>
      <c r="D12" s="3" t="s">
        <v>15</v>
      </c>
      <c r="E12" s="3" t="s">
        <v>19</v>
      </c>
      <c r="F12" s="3" t="s">
        <v>27</v>
      </c>
      <c r="G12" s="3">
        <v>-4917.68</v>
      </c>
      <c r="H12" s="3">
        <v>-4433.1499999999996</v>
      </c>
      <c r="I12" s="3" t="s">
        <v>12</v>
      </c>
      <c r="J12" s="3">
        <v>1</v>
      </c>
      <c r="K12" s="5">
        <f>actual_vs_target_sales_dataset[[#This Row],[Sales_ Amount]]/actual_vs_target_sales_dataset[[#This Row],[Sales_Target]]</f>
        <v>1.109297001003801</v>
      </c>
    </row>
    <row r="13" spans="1:11" x14ac:dyDescent="0.3">
      <c r="A13" s="2">
        <v>44573</v>
      </c>
      <c r="B13" s="3" t="s">
        <v>13</v>
      </c>
      <c r="C13" s="3" t="s">
        <v>8</v>
      </c>
      <c r="D13" s="3" t="s">
        <v>15</v>
      </c>
      <c r="E13" s="3" t="s">
        <v>21</v>
      </c>
      <c r="F13" s="3" t="s">
        <v>28</v>
      </c>
      <c r="G13" s="3">
        <v>6711.35</v>
      </c>
      <c r="H13" s="3">
        <v>7316.03</v>
      </c>
      <c r="I13" s="3" t="s">
        <v>12</v>
      </c>
      <c r="J13" s="3">
        <v>1</v>
      </c>
      <c r="K13" s="5">
        <f>actual_vs_target_sales_dataset[[#This Row],[Sales_ Amount]]/actual_vs_target_sales_dataset[[#This Row],[Sales_Target]]</f>
        <v>0.917348616667783</v>
      </c>
    </row>
    <row r="14" spans="1:11" x14ac:dyDescent="0.3">
      <c r="A14" s="2">
        <v>44574</v>
      </c>
      <c r="B14" s="3" t="s">
        <v>20</v>
      </c>
      <c r="C14" s="3" t="s">
        <v>14</v>
      </c>
      <c r="D14" s="3" t="s">
        <v>24</v>
      </c>
      <c r="E14" s="3" t="s">
        <v>21</v>
      </c>
      <c r="F14" s="3" t="s">
        <v>29</v>
      </c>
      <c r="G14" s="3">
        <v>16777.64</v>
      </c>
      <c r="H14" s="3">
        <v>15350.91</v>
      </c>
      <c r="I14" s="3" t="s">
        <v>12</v>
      </c>
      <c r="J14" s="3">
        <v>1</v>
      </c>
      <c r="K14" s="5">
        <f>actual_vs_target_sales_dataset[[#This Row],[Sales_ Amount]]/actual_vs_target_sales_dataset[[#This Row],[Sales_Target]]</f>
        <v>1.0929410699430848</v>
      </c>
    </row>
    <row r="15" spans="1:11" x14ac:dyDescent="0.3">
      <c r="A15" s="2">
        <v>44575</v>
      </c>
      <c r="B15" s="3" t="s">
        <v>13</v>
      </c>
      <c r="C15" s="3" t="s">
        <v>22</v>
      </c>
      <c r="D15" s="3" t="s">
        <v>15</v>
      </c>
      <c r="E15" s="3" t="s">
        <v>19</v>
      </c>
      <c r="F15" s="3" t="s">
        <v>30</v>
      </c>
      <c r="G15" s="3">
        <v>-6039.5</v>
      </c>
      <c r="H15" s="3">
        <v>-5969.32</v>
      </c>
      <c r="I15" s="3" t="s">
        <v>12</v>
      </c>
      <c r="J15" s="3">
        <v>1</v>
      </c>
      <c r="K15" s="5">
        <f>actual_vs_target_sales_dataset[[#This Row],[Sales_ Amount]]/actual_vs_target_sales_dataset[[#This Row],[Sales_Target]]</f>
        <v>1.0117567830171612</v>
      </c>
    </row>
    <row r="16" spans="1:11" x14ac:dyDescent="0.3">
      <c r="A16" s="2">
        <v>44576</v>
      </c>
      <c r="B16" s="3" t="s">
        <v>7</v>
      </c>
      <c r="C16" s="3" t="s">
        <v>14</v>
      </c>
      <c r="D16" s="3" t="s">
        <v>9</v>
      </c>
      <c r="E16" s="3" t="s">
        <v>19</v>
      </c>
      <c r="F16" s="3" t="s">
        <v>30</v>
      </c>
      <c r="G16" s="3">
        <v>7118.09</v>
      </c>
      <c r="H16" s="3">
        <v>7002.25</v>
      </c>
      <c r="I16" s="3" t="s">
        <v>12</v>
      </c>
      <c r="J16" s="3">
        <v>1</v>
      </c>
      <c r="K16" s="5">
        <f>actual_vs_target_sales_dataset[[#This Row],[Sales_ Amount]]/actual_vs_target_sales_dataset[[#This Row],[Sales_Target]]</f>
        <v>1.0165432539540862</v>
      </c>
    </row>
    <row r="17" spans="1:11" x14ac:dyDescent="0.3">
      <c r="A17" s="2">
        <v>44577</v>
      </c>
      <c r="B17" s="3" t="s">
        <v>20</v>
      </c>
      <c r="C17" s="3" t="s">
        <v>8</v>
      </c>
      <c r="D17" s="3" t="s">
        <v>24</v>
      </c>
      <c r="E17" s="3" t="s">
        <v>19</v>
      </c>
      <c r="F17" s="3" t="s">
        <v>30</v>
      </c>
      <c r="G17" s="3">
        <v>4876.1899999999996</v>
      </c>
      <c r="H17" s="3">
        <v>4352.2</v>
      </c>
      <c r="I17" s="3" t="s">
        <v>12</v>
      </c>
      <c r="J17" s="3">
        <v>1</v>
      </c>
      <c r="K17" s="5">
        <f>actual_vs_target_sales_dataset[[#This Row],[Sales_ Amount]]/actual_vs_target_sales_dataset[[#This Row],[Sales_Target]]</f>
        <v>1.1203965810394743</v>
      </c>
    </row>
    <row r="18" spans="1:11" x14ac:dyDescent="0.3">
      <c r="A18" s="2">
        <v>44578</v>
      </c>
      <c r="B18" s="3" t="s">
        <v>7</v>
      </c>
      <c r="C18" s="3" t="s">
        <v>8</v>
      </c>
      <c r="D18" s="3" t="s">
        <v>18</v>
      </c>
      <c r="E18" s="3" t="s">
        <v>19</v>
      </c>
      <c r="F18" s="3" t="s">
        <v>31</v>
      </c>
      <c r="G18" s="3">
        <v>4034.95</v>
      </c>
      <c r="H18" s="3">
        <v>4102.07</v>
      </c>
      <c r="I18" s="3" t="s">
        <v>12</v>
      </c>
      <c r="J18" s="3">
        <v>1</v>
      </c>
      <c r="K18" s="5">
        <f>actual_vs_target_sales_dataset[[#This Row],[Sales_ Amount]]/actual_vs_target_sales_dataset[[#This Row],[Sales_Target]]</f>
        <v>0.98363752934494053</v>
      </c>
    </row>
    <row r="19" spans="1:11" x14ac:dyDescent="0.3">
      <c r="A19" s="2">
        <v>44579</v>
      </c>
      <c r="B19" s="3" t="s">
        <v>20</v>
      </c>
      <c r="C19" s="3" t="s">
        <v>8</v>
      </c>
      <c r="D19" s="3" t="s">
        <v>18</v>
      </c>
      <c r="E19" s="3" t="s">
        <v>19</v>
      </c>
      <c r="F19" s="3" t="s">
        <v>30</v>
      </c>
      <c r="G19" s="3">
        <v>2357.21</v>
      </c>
      <c r="H19" s="3">
        <v>2359.21</v>
      </c>
      <c r="I19" s="3" t="s">
        <v>12</v>
      </c>
      <c r="J19" s="3">
        <v>1</v>
      </c>
      <c r="K19" s="5">
        <f>actual_vs_target_sales_dataset[[#This Row],[Sales_ Amount]]/actual_vs_target_sales_dataset[[#This Row],[Sales_Target]]</f>
        <v>0.9991522585950382</v>
      </c>
    </row>
    <row r="20" spans="1:11" x14ac:dyDescent="0.3">
      <c r="A20" s="2">
        <v>44580</v>
      </c>
      <c r="B20" s="3" t="s">
        <v>23</v>
      </c>
      <c r="C20" s="3" t="s">
        <v>22</v>
      </c>
      <c r="D20" s="3" t="s">
        <v>24</v>
      </c>
      <c r="E20" s="3" t="s">
        <v>19</v>
      </c>
      <c r="F20" s="3" t="s">
        <v>26</v>
      </c>
      <c r="G20" s="3">
        <v>10570.9</v>
      </c>
      <c r="H20" s="3">
        <v>11016.71</v>
      </c>
      <c r="I20" s="3" t="s">
        <v>12</v>
      </c>
      <c r="J20" s="3">
        <v>1</v>
      </c>
      <c r="K20" s="5">
        <f>actual_vs_target_sales_dataset[[#This Row],[Sales_ Amount]]/actual_vs_target_sales_dataset[[#This Row],[Sales_Target]]</f>
        <v>0.95953329079189709</v>
      </c>
    </row>
    <row r="21" spans="1:11" x14ac:dyDescent="0.3">
      <c r="A21" s="2">
        <v>44581</v>
      </c>
      <c r="B21" s="3" t="s">
        <v>7</v>
      </c>
      <c r="C21" s="3" t="s">
        <v>8</v>
      </c>
      <c r="D21" s="3" t="s">
        <v>24</v>
      </c>
      <c r="E21" s="3" t="s">
        <v>21</v>
      </c>
      <c r="F21" s="3" t="s">
        <v>26</v>
      </c>
      <c r="G21" s="3">
        <v>16542.95</v>
      </c>
      <c r="H21" s="3">
        <v>18108.939999999999</v>
      </c>
      <c r="I21" s="3" t="s">
        <v>12</v>
      </c>
      <c r="J21" s="3">
        <v>1</v>
      </c>
      <c r="K21" s="5">
        <f>actual_vs_target_sales_dataset[[#This Row],[Sales_ Amount]]/actual_vs_target_sales_dataset[[#This Row],[Sales_Target]]</f>
        <v>0.9135239279604439</v>
      </c>
    </row>
    <row r="22" spans="1:11" x14ac:dyDescent="0.3">
      <c r="A22" s="2">
        <v>44582</v>
      </c>
      <c r="B22" s="3" t="s">
        <v>23</v>
      </c>
      <c r="C22" s="3" t="s">
        <v>8</v>
      </c>
      <c r="D22" s="3" t="s">
        <v>18</v>
      </c>
      <c r="E22" s="3" t="s">
        <v>21</v>
      </c>
      <c r="F22" s="3" t="s">
        <v>11</v>
      </c>
      <c r="G22" s="3">
        <v>17211.560000000001</v>
      </c>
      <c r="H22" s="3">
        <v>18410.7</v>
      </c>
      <c r="I22" s="3" t="s">
        <v>12</v>
      </c>
      <c r="J22" s="3">
        <v>1</v>
      </c>
      <c r="K22" s="5">
        <f>actual_vs_target_sales_dataset[[#This Row],[Sales_ Amount]]/actual_vs_target_sales_dataset[[#This Row],[Sales_Target]]</f>
        <v>0.93486722395128918</v>
      </c>
    </row>
    <row r="23" spans="1:11" x14ac:dyDescent="0.3">
      <c r="A23" s="2">
        <v>44583</v>
      </c>
      <c r="B23" s="3" t="s">
        <v>23</v>
      </c>
      <c r="C23" s="3" t="s">
        <v>8</v>
      </c>
      <c r="D23" s="3" t="s">
        <v>9</v>
      </c>
      <c r="E23" s="3" t="s">
        <v>10</v>
      </c>
      <c r="F23" s="3" t="s">
        <v>28</v>
      </c>
      <c r="G23" s="3">
        <v>14463.8</v>
      </c>
      <c r="H23" s="3">
        <v>14428.64</v>
      </c>
      <c r="I23" s="3" t="s">
        <v>12</v>
      </c>
      <c r="J23" s="3">
        <v>1</v>
      </c>
      <c r="K23" s="5">
        <f>actual_vs_target_sales_dataset[[#This Row],[Sales_ Amount]]/actual_vs_target_sales_dataset[[#This Row],[Sales_Target]]</f>
        <v>1.0024368201022411</v>
      </c>
    </row>
    <row r="24" spans="1:11" x14ac:dyDescent="0.3">
      <c r="A24" s="2">
        <v>44584</v>
      </c>
      <c r="B24" s="3" t="s">
        <v>13</v>
      </c>
      <c r="C24" s="3" t="s">
        <v>25</v>
      </c>
      <c r="D24" s="3" t="s">
        <v>15</v>
      </c>
      <c r="E24" s="3" t="s">
        <v>21</v>
      </c>
      <c r="F24" s="3" t="s">
        <v>16</v>
      </c>
      <c r="G24" s="3">
        <v>10288.790000000001</v>
      </c>
      <c r="H24" s="3">
        <v>9069.6</v>
      </c>
      <c r="I24" s="3" t="s">
        <v>12</v>
      </c>
      <c r="J24" s="3">
        <v>1</v>
      </c>
      <c r="K24" s="5">
        <f>actual_vs_target_sales_dataset[[#This Row],[Sales_ Amount]]/actual_vs_target_sales_dataset[[#This Row],[Sales_Target]]</f>
        <v>1.1344259945311812</v>
      </c>
    </row>
    <row r="25" spans="1:11" x14ac:dyDescent="0.3">
      <c r="A25" s="2">
        <v>44585</v>
      </c>
      <c r="B25" s="3" t="s">
        <v>20</v>
      </c>
      <c r="C25" s="3" t="s">
        <v>14</v>
      </c>
      <c r="D25" s="3" t="s">
        <v>18</v>
      </c>
      <c r="E25" s="3" t="s">
        <v>10</v>
      </c>
      <c r="F25" s="3" t="s">
        <v>31</v>
      </c>
      <c r="G25" s="3">
        <v>11490.84</v>
      </c>
      <c r="H25" s="3">
        <v>11986.98</v>
      </c>
      <c r="I25" s="3" t="s">
        <v>12</v>
      </c>
      <c r="J25" s="3">
        <v>1</v>
      </c>
      <c r="K25" s="5">
        <f>actual_vs_target_sales_dataset[[#This Row],[Sales_ Amount]]/actual_vs_target_sales_dataset[[#This Row],[Sales_Target]]</f>
        <v>0.95861009194976554</v>
      </c>
    </row>
    <row r="26" spans="1:11" x14ac:dyDescent="0.3">
      <c r="A26" s="2">
        <v>44586</v>
      </c>
      <c r="B26" s="3" t="s">
        <v>17</v>
      </c>
      <c r="C26" s="3" t="s">
        <v>8</v>
      </c>
      <c r="D26" s="3" t="s">
        <v>9</v>
      </c>
      <c r="E26" s="3" t="s">
        <v>21</v>
      </c>
      <c r="F26" s="3" t="s">
        <v>28</v>
      </c>
      <c r="G26" s="3">
        <v>21021.85</v>
      </c>
      <c r="H26" s="3">
        <v>20805.259999999998</v>
      </c>
      <c r="I26" s="3" t="s">
        <v>12</v>
      </c>
      <c r="J26" s="3">
        <v>1</v>
      </c>
      <c r="K26" s="5">
        <f>actual_vs_target_sales_dataset[[#This Row],[Sales_ Amount]]/actual_vs_target_sales_dataset[[#This Row],[Sales_Target]]</f>
        <v>1.0104103481523423</v>
      </c>
    </row>
    <row r="27" spans="1:11" x14ac:dyDescent="0.3">
      <c r="A27" s="2">
        <v>44587</v>
      </c>
      <c r="B27" s="3" t="s">
        <v>17</v>
      </c>
      <c r="C27" s="3" t="s">
        <v>14</v>
      </c>
      <c r="D27" s="3" t="s">
        <v>15</v>
      </c>
      <c r="E27" s="3" t="s">
        <v>10</v>
      </c>
      <c r="F27" s="3" t="s">
        <v>29</v>
      </c>
      <c r="G27" s="3">
        <v>2562.59</v>
      </c>
      <c r="H27" s="3">
        <v>2650.27</v>
      </c>
      <c r="I27" s="3" t="s">
        <v>12</v>
      </c>
      <c r="J27" s="3">
        <v>1</v>
      </c>
      <c r="K27" s="5">
        <f>actual_vs_target_sales_dataset[[#This Row],[Sales_ Amount]]/actual_vs_target_sales_dataset[[#This Row],[Sales_Target]]</f>
        <v>0.96691657831088917</v>
      </c>
    </row>
    <row r="28" spans="1:11" x14ac:dyDescent="0.3">
      <c r="A28" s="2">
        <v>44588</v>
      </c>
      <c r="B28" s="3" t="s">
        <v>20</v>
      </c>
      <c r="C28" s="3" t="s">
        <v>25</v>
      </c>
      <c r="D28" s="3" t="s">
        <v>15</v>
      </c>
      <c r="E28" s="3" t="s">
        <v>19</v>
      </c>
      <c r="F28" s="3" t="s">
        <v>27</v>
      </c>
      <c r="G28" s="3">
        <v>14731.19</v>
      </c>
      <c r="H28" s="3">
        <v>12673.28</v>
      </c>
      <c r="I28" s="3" t="s">
        <v>12</v>
      </c>
      <c r="J28" s="3">
        <v>1</v>
      </c>
      <c r="K28" s="5">
        <f>actual_vs_target_sales_dataset[[#This Row],[Sales_ Amount]]/actual_vs_target_sales_dataset[[#This Row],[Sales_Target]]</f>
        <v>1.1623817985557015</v>
      </c>
    </row>
    <row r="29" spans="1:11" x14ac:dyDescent="0.3">
      <c r="A29" s="2">
        <v>44589</v>
      </c>
      <c r="B29" s="3" t="s">
        <v>17</v>
      </c>
      <c r="C29" s="3" t="s">
        <v>14</v>
      </c>
      <c r="D29" s="3" t="s">
        <v>24</v>
      </c>
      <c r="E29" s="3" t="s">
        <v>21</v>
      </c>
      <c r="F29" s="3" t="s">
        <v>11</v>
      </c>
      <c r="G29" s="3">
        <v>13750.83</v>
      </c>
      <c r="H29" s="3">
        <v>14924.98</v>
      </c>
      <c r="I29" s="3" t="s">
        <v>12</v>
      </c>
      <c r="J29" s="3">
        <v>1</v>
      </c>
      <c r="K29" s="5">
        <f>actual_vs_target_sales_dataset[[#This Row],[Sales_ Amount]]/actual_vs_target_sales_dataset[[#This Row],[Sales_Target]]</f>
        <v>0.92132987782898201</v>
      </c>
    </row>
    <row r="30" spans="1:11" x14ac:dyDescent="0.3">
      <c r="A30" s="2">
        <v>44590</v>
      </c>
      <c r="B30" s="3" t="s">
        <v>20</v>
      </c>
      <c r="C30" s="3" t="s">
        <v>14</v>
      </c>
      <c r="D30" s="3" t="s">
        <v>24</v>
      </c>
      <c r="E30" s="3" t="s">
        <v>21</v>
      </c>
      <c r="F30" s="3" t="s">
        <v>27</v>
      </c>
      <c r="G30" s="3">
        <v>7594.65</v>
      </c>
      <c r="H30" s="3">
        <v>8048.22</v>
      </c>
      <c r="I30" s="3" t="s">
        <v>12</v>
      </c>
      <c r="J30" s="3">
        <v>1</v>
      </c>
      <c r="K30" s="5">
        <f>actual_vs_target_sales_dataset[[#This Row],[Sales_ Amount]]/actual_vs_target_sales_dataset[[#This Row],[Sales_Target]]</f>
        <v>0.94364343917040039</v>
      </c>
    </row>
    <row r="31" spans="1:11" x14ac:dyDescent="0.3">
      <c r="A31" s="2">
        <v>44591</v>
      </c>
      <c r="B31" s="3" t="s">
        <v>7</v>
      </c>
      <c r="C31" s="3" t="s">
        <v>8</v>
      </c>
      <c r="D31" s="3" t="s">
        <v>15</v>
      </c>
      <c r="E31" s="3" t="s">
        <v>19</v>
      </c>
      <c r="F31" s="3" t="s">
        <v>27</v>
      </c>
      <c r="G31" s="3">
        <v>9643.41</v>
      </c>
      <c r="H31" s="3">
        <v>9411.94</v>
      </c>
      <c r="I31" s="3" t="s">
        <v>12</v>
      </c>
      <c r="J31" s="3">
        <v>1</v>
      </c>
      <c r="K31" s="5">
        <f>actual_vs_target_sales_dataset[[#This Row],[Sales_ Amount]]/actual_vs_target_sales_dataset[[#This Row],[Sales_Target]]</f>
        <v>1.0245932294511013</v>
      </c>
    </row>
    <row r="32" spans="1:11" x14ac:dyDescent="0.3">
      <c r="A32" s="2">
        <v>44592</v>
      </c>
      <c r="B32" s="3" t="s">
        <v>20</v>
      </c>
      <c r="C32" s="3" t="s">
        <v>14</v>
      </c>
      <c r="D32" s="3" t="s">
        <v>15</v>
      </c>
      <c r="E32" s="3" t="s">
        <v>10</v>
      </c>
      <c r="F32" s="3" t="s">
        <v>29</v>
      </c>
      <c r="G32" s="3">
        <v>5999.41</v>
      </c>
      <c r="H32" s="3">
        <v>5139.09</v>
      </c>
      <c r="I32" s="3" t="s">
        <v>12</v>
      </c>
      <c r="J32" s="3">
        <v>1</v>
      </c>
      <c r="K32" s="5">
        <f>actual_vs_target_sales_dataset[[#This Row],[Sales_ Amount]]/actual_vs_target_sales_dataset[[#This Row],[Sales_Target]]</f>
        <v>1.1674070701233097</v>
      </c>
    </row>
    <row r="33" spans="1:11" x14ac:dyDescent="0.3">
      <c r="A33" s="2">
        <v>44593</v>
      </c>
      <c r="B33" s="3" t="s">
        <v>17</v>
      </c>
      <c r="C33" s="3" t="s">
        <v>25</v>
      </c>
      <c r="D33" s="3" t="s">
        <v>18</v>
      </c>
      <c r="E33" s="3" t="s">
        <v>10</v>
      </c>
      <c r="F33" s="3" t="s">
        <v>27</v>
      </c>
      <c r="G33" s="3">
        <v>8558.7999999999993</v>
      </c>
      <c r="H33" s="3">
        <v>8813.7000000000007</v>
      </c>
      <c r="I33" s="3" t="s">
        <v>32</v>
      </c>
      <c r="J33" s="3">
        <v>2</v>
      </c>
      <c r="K33" s="5">
        <f>actual_vs_target_sales_dataset[[#This Row],[Sales_ Amount]]/actual_vs_target_sales_dataset[[#This Row],[Sales_Target]]</f>
        <v>0.97107911546796444</v>
      </c>
    </row>
    <row r="34" spans="1:11" x14ac:dyDescent="0.3">
      <c r="A34" s="2">
        <v>44594</v>
      </c>
      <c r="B34" s="3" t="s">
        <v>17</v>
      </c>
      <c r="C34" s="3" t="s">
        <v>14</v>
      </c>
      <c r="D34" s="3" t="s">
        <v>9</v>
      </c>
      <c r="E34" s="3" t="s">
        <v>19</v>
      </c>
      <c r="F34" s="3" t="s">
        <v>31</v>
      </c>
      <c r="G34" s="3">
        <v>8200.59</v>
      </c>
      <c r="H34" s="3">
        <v>9463.09</v>
      </c>
      <c r="I34" s="3" t="s">
        <v>32</v>
      </c>
      <c r="J34" s="3">
        <v>2</v>
      </c>
      <c r="K34" s="5">
        <f>actual_vs_target_sales_dataset[[#This Row],[Sales_ Amount]]/actual_vs_target_sales_dataset[[#This Row],[Sales_Target]]</f>
        <v>0.86658691822649891</v>
      </c>
    </row>
    <row r="35" spans="1:11" x14ac:dyDescent="0.3">
      <c r="A35" s="2">
        <v>44595</v>
      </c>
      <c r="B35" s="3" t="s">
        <v>7</v>
      </c>
      <c r="C35" s="3" t="s">
        <v>14</v>
      </c>
      <c r="D35" s="3" t="s">
        <v>9</v>
      </c>
      <c r="E35" s="3" t="s">
        <v>10</v>
      </c>
      <c r="F35" s="3" t="s">
        <v>27</v>
      </c>
      <c r="G35" s="3">
        <v>-1089.74</v>
      </c>
      <c r="H35" s="3">
        <v>-1028.83</v>
      </c>
      <c r="I35" s="3" t="s">
        <v>32</v>
      </c>
      <c r="J35" s="3">
        <v>2</v>
      </c>
      <c r="K35" s="5">
        <f>actual_vs_target_sales_dataset[[#This Row],[Sales_ Amount]]/actual_vs_target_sales_dataset[[#This Row],[Sales_Target]]</f>
        <v>1.0592031725357931</v>
      </c>
    </row>
    <row r="36" spans="1:11" x14ac:dyDescent="0.3">
      <c r="A36" s="2">
        <v>44596</v>
      </c>
      <c r="B36" s="3" t="s">
        <v>20</v>
      </c>
      <c r="C36" s="3" t="s">
        <v>25</v>
      </c>
      <c r="D36" s="3" t="s">
        <v>9</v>
      </c>
      <c r="E36" s="3" t="s">
        <v>19</v>
      </c>
      <c r="F36" s="3" t="s">
        <v>31</v>
      </c>
      <c r="G36" s="3">
        <v>5331.12</v>
      </c>
      <c r="H36" s="3">
        <v>4770.18</v>
      </c>
      <c r="I36" s="3" t="s">
        <v>32</v>
      </c>
      <c r="J36" s="3">
        <v>2</v>
      </c>
      <c r="K36" s="5">
        <f>actual_vs_target_sales_dataset[[#This Row],[Sales_ Amount]]/actual_vs_target_sales_dataset[[#This Row],[Sales_Target]]</f>
        <v>1.1175930468032651</v>
      </c>
    </row>
    <row r="37" spans="1:11" x14ac:dyDescent="0.3">
      <c r="A37" s="2">
        <v>44597</v>
      </c>
      <c r="B37" s="3" t="s">
        <v>20</v>
      </c>
      <c r="C37" s="3" t="s">
        <v>8</v>
      </c>
      <c r="D37" s="3" t="s">
        <v>9</v>
      </c>
      <c r="E37" s="3" t="s">
        <v>21</v>
      </c>
      <c r="F37" s="3" t="s">
        <v>30</v>
      </c>
      <c r="G37" s="3">
        <v>8165.11</v>
      </c>
      <c r="H37" s="3">
        <v>7684.12</v>
      </c>
      <c r="I37" s="3" t="s">
        <v>32</v>
      </c>
      <c r="J37" s="3">
        <v>2</v>
      </c>
      <c r="K37" s="5">
        <f>actual_vs_target_sales_dataset[[#This Row],[Sales_ Amount]]/actual_vs_target_sales_dataset[[#This Row],[Sales_Target]]</f>
        <v>1.0625953264654899</v>
      </c>
    </row>
    <row r="38" spans="1:11" x14ac:dyDescent="0.3">
      <c r="A38" s="2">
        <v>44598</v>
      </c>
      <c r="B38" s="3" t="s">
        <v>23</v>
      </c>
      <c r="C38" s="3" t="s">
        <v>8</v>
      </c>
      <c r="D38" s="3" t="s">
        <v>18</v>
      </c>
      <c r="E38" s="3" t="s">
        <v>21</v>
      </c>
      <c r="F38" s="3" t="s">
        <v>28</v>
      </c>
      <c r="G38" s="3">
        <v>14401.2</v>
      </c>
      <c r="H38" s="3">
        <v>14071.13</v>
      </c>
      <c r="I38" s="3" t="s">
        <v>32</v>
      </c>
      <c r="J38" s="3">
        <v>2</v>
      </c>
      <c r="K38" s="5">
        <f>actual_vs_target_sales_dataset[[#This Row],[Sales_ Amount]]/actual_vs_target_sales_dataset[[#This Row],[Sales_Target]]</f>
        <v>1.0234572489913747</v>
      </c>
    </row>
    <row r="39" spans="1:11" x14ac:dyDescent="0.3">
      <c r="A39" s="2">
        <v>44599</v>
      </c>
      <c r="B39" s="3" t="s">
        <v>23</v>
      </c>
      <c r="C39" s="3" t="s">
        <v>8</v>
      </c>
      <c r="D39" s="3" t="s">
        <v>9</v>
      </c>
      <c r="E39" s="3" t="s">
        <v>10</v>
      </c>
      <c r="F39" s="3" t="s">
        <v>26</v>
      </c>
      <c r="G39" s="3">
        <v>15438.24</v>
      </c>
      <c r="H39" s="3">
        <v>15359.86</v>
      </c>
      <c r="I39" s="3" t="s">
        <v>32</v>
      </c>
      <c r="J39" s="3">
        <v>2</v>
      </c>
      <c r="K39" s="5">
        <f>actual_vs_target_sales_dataset[[#This Row],[Sales_ Amount]]/actual_vs_target_sales_dataset[[#This Row],[Sales_Target]]</f>
        <v>1.0051029110942418</v>
      </c>
    </row>
    <row r="40" spans="1:11" x14ac:dyDescent="0.3">
      <c r="A40" s="2">
        <v>44600</v>
      </c>
      <c r="B40" s="3" t="s">
        <v>13</v>
      </c>
      <c r="C40" s="3" t="s">
        <v>14</v>
      </c>
      <c r="D40" s="3" t="s">
        <v>9</v>
      </c>
      <c r="E40" s="3" t="s">
        <v>10</v>
      </c>
      <c r="F40" s="3" t="s">
        <v>29</v>
      </c>
      <c r="G40" s="3">
        <v>-8267.75</v>
      </c>
      <c r="H40" s="3">
        <v>-7577.32</v>
      </c>
      <c r="I40" s="3" t="s">
        <v>32</v>
      </c>
      <c r="J40" s="3">
        <v>2</v>
      </c>
      <c r="K40" s="5">
        <f>actual_vs_target_sales_dataset[[#This Row],[Sales_ Amount]]/actual_vs_target_sales_dataset[[#This Row],[Sales_Target]]</f>
        <v>1.0911179678303147</v>
      </c>
    </row>
    <row r="41" spans="1:11" x14ac:dyDescent="0.3">
      <c r="A41" s="2">
        <v>44601</v>
      </c>
      <c r="B41" s="3" t="s">
        <v>13</v>
      </c>
      <c r="C41" s="3" t="s">
        <v>8</v>
      </c>
      <c r="D41" s="3" t="s">
        <v>18</v>
      </c>
      <c r="E41" s="3" t="s">
        <v>19</v>
      </c>
      <c r="F41" s="3" t="s">
        <v>28</v>
      </c>
      <c r="G41" s="3">
        <v>4295.2700000000004</v>
      </c>
      <c r="H41" s="3">
        <v>4374.53</v>
      </c>
      <c r="I41" s="3" t="s">
        <v>32</v>
      </c>
      <c r="J41" s="3">
        <v>2</v>
      </c>
      <c r="K41" s="5">
        <f>actual_vs_target_sales_dataset[[#This Row],[Sales_ Amount]]/actual_vs_target_sales_dataset[[#This Row],[Sales_Target]]</f>
        <v>0.98188148212493698</v>
      </c>
    </row>
    <row r="42" spans="1:11" x14ac:dyDescent="0.3">
      <c r="A42" s="2">
        <v>44602</v>
      </c>
      <c r="B42" s="3" t="s">
        <v>13</v>
      </c>
      <c r="C42" s="3" t="s">
        <v>8</v>
      </c>
      <c r="D42" s="3" t="s">
        <v>24</v>
      </c>
      <c r="E42" s="3" t="s">
        <v>10</v>
      </c>
      <c r="F42" s="3" t="s">
        <v>29</v>
      </c>
      <c r="G42" s="3">
        <v>4178.34</v>
      </c>
      <c r="H42" s="3">
        <v>4126.2</v>
      </c>
      <c r="I42" s="3" t="s">
        <v>32</v>
      </c>
      <c r="J42" s="3">
        <v>2</v>
      </c>
      <c r="K42" s="5">
        <f>actual_vs_target_sales_dataset[[#This Row],[Sales_ Amount]]/actual_vs_target_sales_dataset[[#This Row],[Sales_Target]]</f>
        <v>1.012636323978479</v>
      </c>
    </row>
    <row r="43" spans="1:11" x14ac:dyDescent="0.3">
      <c r="A43" s="2">
        <v>44603</v>
      </c>
      <c r="B43" s="3" t="s">
        <v>20</v>
      </c>
      <c r="C43" s="3" t="s">
        <v>22</v>
      </c>
      <c r="D43" s="3" t="s">
        <v>24</v>
      </c>
      <c r="E43" s="3" t="s">
        <v>10</v>
      </c>
      <c r="F43" s="3" t="s">
        <v>11</v>
      </c>
      <c r="G43" s="3">
        <v>5015.68</v>
      </c>
      <c r="H43" s="3">
        <v>5409.07</v>
      </c>
      <c r="I43" s="3" t="s">
        <v>32</v>
      </c>
      <c r="J43" s="3">
        <v>2</v>
      </c>
      <c r="K43" s="5">
        <f>actual_vs_target_sales_dataset[[#This Row],[Sales_ Amount]]/actual_vs_target_sales_dataset[[#This Row],[Sales_Target]]</f>
        <v>0.92727215584194711</v>
      </c>
    </row>
    <row r="44" spans="1:11" x14ac:dyDescent="0.3">
      <c r="A44" s="2">
        <v>44604</v>
      </c>
      <c r="B44" s="3" t="s">
        <v>17</v>
      </c>
      <c r="C44" s="3" t="s">
        <v>8</v>
      </c>
      <c r="D44" s="3" t="s">
        <v>24</v>
      </c>
      <c r="E44" s="3" t="s">
        <v>21</v>
      </c>
      <c r="F44" s="3" t="s">
        <v>29</v>
      </c>
      <c r="G44" s="3">
        <v>13198.63</v>
      </c>
      <c r="H44" s="3">
        <v>12654.04</v>
      </c>
      <c r="I44" s="3" t="s">
        <v>32</v>
      </c>
      <c r="J44" s="3">
        <v>2</v>
      </c>
      <c r="K44" s="5">
        <f>actual_vs_target_sales_dataset[[#This Row],[Sales_ Amount]]/actual_vs_target_sales_dataset[[#This Row],[Sales_Target]]</f>
        <v>1.0430368483108949</v>
      </c>
    </row>
    <row r="45" spans="1:11" x14ac:dyDescent="0.3">
      <c r="A45" s="2">
        <v>44605</v>
      </c>
      <c r="B45" s="3" t="s">
        <v>20</v>
      </c>
      <c r="C45" s="3" t="s">
        <v>25</v>
      </c>
      <c r="D45" s="3" t="s">
        <v>9</v>
      </c>
      <c r="E45" s="3" t="s">
        <v>21</v>
      </c>
      <c r="F45" s="3" t="s">
        <v>31</v>
      </c>
      <c r="G45" s="3">
        <v>4704.6099999999997</v>
      </c>
      <c r="H45" s="3">
        <v>4673.08</v>
      </c>
      <c r="I45" s="3" t="s">
        <v>32</v>
      </c>
      <c r="J45" s="3">
        <v>2</v>
      </c>
      <c r="K45" s="5">
        <f>actual_vs_target_sales_dataset[[#This Row],[Sales_ Amount]]/actual_vs_target_sales_dataset[[#This Row],[Sales_Target]]</f>
        <v>1.0067471560512553</v>
      </c>
    </row>
    <row r="46" spans="1:11" x14ac:dyDescent="0.3">
      <c r="A46" s="2">
        <v>44606</v>
      </c>
      <c r="B46" s="3" t="s">
        <v>7</v>
      </c>
      <c r="C46" s="3" t="s">
        <v>14</v>
      </c>
      <c r="D46" s="3" t="s">
        <v>15</v>
      </c>
      <c r="E46" s="3" t="s">
        <v>19</v>
      </c>
      <c r="F46" s="3" t="s">
        <v>11</v>
      </c>
      <c r="G46" s="3">
        <v>21310.49</v>
      </c>
      <c r="H46" s="3">
        <v>21265.74</v>
      </c>
      <c r="I46" s="3" t="s">
        <v>32</v>
      </c>
      <c r="J46" s="3">
        <v>2</v>
      </c>
      <c r="K46" s="5">
        <f>actual_vs_target_sales_dataset[[#This Row],[Sales_ Amount]]/actual_vs_target_sales_dataset[[#This Row],[Sales_Target]]</f>
        <v>1.0021043236680218</v>
      </c>
    </row>
    <row r="47" spans="1:11" x14ac:dyDescent="0.3">
      <c r="A47" s="2">
        <v>44607</v>
      </c>
      <c r="B47" s="3" t="s">
        <v>17</v>
      </c>
      <c r="C47" s="3" t="s">
        <v>8</v>
      </c>
      <c r="D47" s="3" t="s">
        <v>15</v>
      </c>
      <c r="E47" s="3" t="s">
        <v>19</v>
      </c>
      <c r="F47" s="3" t="s">
        <v>31</v>
      </c>
      <c r="G47" s="3">
        <v>5523.8</v>
      </c>
      <c r="H47" s="3">
        <v>5477.84</v>
      </c>
      <c r="I47" s="3" t="s">
        <v>32</v>
      </c>
      <c r="J47" s="3">
        <v>2</v>
      </c>
      <c r="K47" s="5">
        <f>actual_vs_target_sales_dataset[[#This Row],[Sales_ Amount]]/actual_vs_target_sales_dataset[[#This Row],[Sales_Target]]</f>
        <v>1.0083901683875396</v>
      </c>
    </row>
    <row r="48" spans="1:11" x14ac:dyDescent="0.3">
      <c r="A48" s="2">
        <v>44608</v>
      </c>
      <c r="B48" s="3" t="s">
        <v>17</v>
      </c>
      <c r="C48" s="3" t="s">
        <v>22</v>
      </c>
      <c r="D48" s="3" t="s">
        <v>15</v>
      </c>
      <c r="E48" s="3" t="s">
        <v>19</v>
      </c>
      <c r="F48" s="3" t="s">
        <v>29</v>
      </c>
      <c r="G48" s="3">
        <v>7863.18</v>
      </c>
      <c r="H48" s="3">
        <v>7580.08</v>
      </c>
      <c r="I48" s="3" t="s">
        <v>32</v>
      </c>
      <c r="J48" s="3">
        <v>2</v>
      </c>
      <c r="K48" s="5">
        <f>actual_vs_target_sales_dataset[[#This Row],[Sales_ Amount]]/actual_vs_target_sales_dataset[[#This Row],[Sales_Target]]</f>
        <v>1.0373478907874323</v>
      </c>
    </row>
    <row r="49" spans="1:11" x14ac:dyDescent="0.3">
      <c r="A49" s="2">
        <v>44609</v>
      </c>
      <c r="B49" s="3" t="s">
        <v>20</v>
      </c>
      <c r="C49" s="3" t="s">
        <v>8</v>
      </c>
      <c r="D49" s="3" t="s">
        <v>15</v>
      </c>
      <c r="E49" s="3" t="s">
        <v>10</v>
      </c>
      <c r="F49" s="3" t="s">
        <v>11</v>
      </c>
      <c r="G49" s="3">
        <v>7902.37</v>
      </c>
      <c r="H49" s="3">
        <v>7599.08</v>
      </c>
      <c r="I49" s="3" t="s">
        <v>32</v>
      </c>
      <c r="J49" s="3">
        <v>2</v>
      </c>
      <c r="K49" s="5">
        <f>actual_vs_target_sales_dataset[[#This Row],[Sales_ Amount]]/actual_vs_target_sales_dataset[[#This Row],[Sales_Target]]</f>
        <v>1.0399114103286187</v>
      </c>
    </row>
    <row r="50" spans="1:11" x14ac:dyDescent="0.3">
      <c r="A50" s="2">
        <v>44610</v>
      </c>
      <c r="B50" s="3" t="s">
        <v>17</v>
      </c>
      <c r="C50" s="3" t="s">
        <v>25</v>
      </c>
      <c r="D50" s="3" t="s">
        <v>18</v>
      </c>
      <c r="E50" s="3" t="s">
        <v>10</v>
      </c>
      <c r="F50" s="3" t="s">
        <v>26</v>
      </c>
      <c r="G50" s="3">
        <v>12516.57</v>
      </c>
      <c r="H50" s="3">
        <v>12207.46</v>
      </c>
      <c r="I50" s="3" t="s">
        <v>32</v>
      </c>
      <c r="J50" s="3">
        <v>2</v>
      </c>
      <c r="K50" s="5">
        <f>actual_vs_target_sales_dataset[[#This Row],[Sales_ Amount]]/actual_vs_target_sales_dataset[[#This Row],[Sales_Target]]</f>
        <v>1.0253214018313392</v>
      </c>
    </row>
    <row r="51" spans="1:11" x14ac:dyDescent="0.3">
      <c r="A51" s="2">
        <v>44611</v>
      </c>
      <c r="B51" s="3" t="s">
        <v>20</v>
      </c>
      <c r="C51" s="3" t="s">
        <v>14</v>
      </c>
      <c r="D51" s="3" t="s">
        <v>15</v>
      </c>
      <c r="E51" s="3" t="s">
        <v>10</v>
      </c>
      <c r="F51" s="3" t="s">
        <v>26</v>
      </c>
      <c r="G51" s="3">
        <v>10261.31</v>
      </c>
      <c r="H51" s="3">
        <v>11234.83</v>
      </c>
      <c r="I51" s="3" t="s">
        <v>32</v>
      </c>
      <c r="J51" s="3">
        <v>2</v>
      </c>
      <c r="K51" s="5">
        <f>actual_vs_target_sales_dataset[[#This Row],[Sales_ Amount]]/actual_vs_target_sales_dataset[[#This Row],[Sales_Target]]</f>
        <v>0.91334804353959953</v>
      </c>
    </row>
    <row r="52" spans="1:11" x14ac:dyDescent="0.3">
      <c r="A52" s="2">
        <v>44612</v>
      </c>
      <c r="B52" s="3" t="s">
        <v>7</v>
      </c>
      <c r="C52" s="3" t="s">
        <v>25</v>
      </c>
      <c r="D52" s="3" t="s">
        <v>9</v>
      </c>
      <c r="E52" s="3" t="s">
        <v>10</v>
      </c>
      <c r="F52" s="3" t="s">
        <v>16</v>
      </c>
      <c r="G52" s="3">
        <v>7703.49</v>
      </c>
      <c r="H52" s="3">
        <v>7630.25</v>
      </c>
      <c r="I52" s="3" t="s">
        <v>32</v>
      </c>
      <c r="J52" s="3">
        <v>2</v>
      </c>
      <c r="K52" s="5">
        <f>actual_vs_target_sales_dataset[[#This Row],[Sales_ Amount]]/actual_vs_target_sales_dataset[[#This Row],[Sales_Target]]</f>
        <v>1.00959863700403</v>
      </c>
    </row>
    <row r="53" spans="1:11" x14ac:dyDescent="0.3">
      <c r="A53" s="2">
        <v>44613</v>
      </c>
      <c r="B53" s="3" t="s">
        <v>7</v>
      </c>
      <c r="C53" s="3" t="s">
        <v>22</v>
      </c>
      <c r="D53" s="3" t="s">
        <v>18</v>
      </c>
      <c r="E53" s="3" t="s">
        <v>19</v>
      </c>
      <c r="F53" s="3" t="s">
        <v>29</v>
      </c>
      <c r="G53" s="3">
        <v>2873.58</v>
      </c>
      <c r="H53" s="3">
        <v>2971.31</v>
      </c>
      <c r="I53" s="3" t="s">
        <v>32</v>
      </c>
      <c r="J53" s="3">
        <v>2</v>
      </c>
      <c r="K53" s="5">
        <f>actual_vs_target_sales_dataset[[#This Row],[Sales_ Amount]]/actual_vs_target_sales_dataset[[#This Row],[Sales_Target]]</f>
        <v>0.96710878366780983</v>
      </c>
    </row>
    <row r="54" spans="1:11" x14ac:dyDescent="0.3">
      <c r="A54" s="2">
        <v>44614</v>
      </c>
      <c r="B54" s="3" t="s">
        <v>20</v>
      </c>
      <c r="C54" s="3" t="s">
        <v>8</v>
      </c>
      <c r="D54" s="3" t="s">
        <v>18</v>
      </c>
      <c r="E54" s="3" t="s">
        <v>19</v>
      </c>
      <c r="F54" s="3" t="s">
        <v>30</v>
      </c>
      <c r="G54" s="3">
        <v>20981.65</v>
      </c>
      <c r="H54" s="3">
        <v>22673.16</v>
      </c>
      <c r="I54" s="3" t="s">
        <v>32</v>
      </c>
      <c r="J54" s="3">
        <v>2</v>
      </c>
      <c r="K54" s="5">
        <f>actual_vs_target_sales_dataset[[#This Row],[Sales_ Amount]]/actual_vs_target_sales_dataset[[#This Row],[Sales_Target]]</f>
        <v>0.92539593069514803</v>
      </c>
    </row>
    <row r="55" spans="1:11" x14ac:dyDescent="0.3">
      <c r="A55" s="2">
        <v>44615</v>
      </c>
      <c r="B55" s="3" t="s">
        <v>13</v>
      </c>
      <c r="C55" s="3" t="s">
        <v>25</v>
      </c>
      <c r="D55" s="3" t="s">
        <v>9</v>
      </c>
      <c r="E55" s="3" t="s">
        <v>19</v>
      </c>
      <c r="F55" s="3" t="s">
        <v>29</v>
      </c>
      <c r="G55" s="3">
        <v>11422.42</v>
      </c>
      <c r="H55" s="3">
        <v>10406.040000000001</v>
      </c>
      <c r="I55" s="3" t="s">
        <v>32</v>
      </c>
      <c r="J55" s="3">
        <v>2</v>
      </c>
      <c r="K55" s="5">
        <f>actual_vs_target_sales_dataset[[#This Row],[Sales_ Amount]]/actual_vs_target_sales_dataset[[#This Row],[Sales_Target]]</f>
        <v>1.0976721211911542</v>
      </c>
    </row>
    <row r="56" spans="1:11" x14ac:dyDescent="0.3">
      <c r="A56" s="2">
        <v>44616</v>
      </c>
      <c r="B56" s="3" t="s">
        <v>17</v>
      </c>
      <c r="C56" s="3" t="s">
        <v>22</v>
      </c>
      <c r="D56" s="3" t="s">
        <v>24</v>
      </c>
      <c r="E56" s="3" t="s">
        <v>10</v>
      </c>
      <c r="F56" s="3" t="s">
        <v>11</v>
      </c>
      <c r="G56" s="3">
        <v>12514.84</v>
      </c>
      <c r="H56" s="3">
        <v>12877.68</v>
      </c>
      <c r="I56" s="3" t="s">
        <v>32</v>
      </c>
      <c r="J56" s="3">
        <v>2</v>
      </c>
      <c r="K56" s="5">
        <f>actual_vs_target_sales_dataset[[#This Row],[Sales_ Amount]]/actual_vs_target_sales_dataset[[#This Row],[Sales_Target]]</f>
        <v>0.97182411738760399</v>
      </c>
    </row>
    <row r="57" spans="1:11" x14ac:dyDescent="0.3">
      <c r="A57" s="2">
        <v>44617</v>
      </c>
      <c r="B57" s="3" t="s">
        <v>20</v>
      </c>
      <c r="C57" s="3" t="s">
        <v>22</v>
      </c>
      <c r="D57" s="3" t="s">
        <v>15</v>
      </c>
      <c r="E57" s="3" t="s">
        <v>19</v>
      </c>
      <c r="F57" s="3" t="s">
        <v>29</v>
      </c>
      <c r="G57" s="3">
        <v>2965.43</v>
      </c>
      <c r="H57" s="3">
        <v>3291.33</v>
      </c>
      <c r="I57" s="3" t="s">
        <v>32</v>
      </c>
      <c r="J57" s="3">
        <v>2</v>
      </c>
      <c r="K57" s="5">
        <f>actual_vs_target_sales_dataset[[#This Row],[Sales_ Amount]]/actual_vs_target_sales_dataset[[#This Row],[Sales_Target]]</f>
        <v>0.90098227768105899</v>
      </c>
    </row>
    <row r="58" spans="1:11" x14ac:dyDescent="0.3">
      <c r="A58" s="2">
        <v>44618</v>
      </c>
      <c r="B58" s="3" t="s">
        <v>17</v>
      </c>
      <c r="C58" s="3" t="s">
        <v>14</v>
      </c>
      <c r="D58" s="3" t="s">
        <v>18</v>
      </c>
      <c r="E58" s="3" t="s">
        <v>19</v>
      </c>
      <c r="F58" s="3" t="s">
        <v>26</v>
      </c>
      <c r="G58" s="3">
        <v>-5969.03</v>
      </c>
      <c r="H58" s="3">
        <v>-6416.16</v>
      </c>
      <c r="I58" s="3" t="s">
        <v>32</v>
      </c>
      <c r="J58" s="3">
        <v>2</v>
      </c>
      <c r="K58" s="5">
        <f>actual_vs_target_sales_dataset[[#This Row],[Sales_ Amount]]/actual_vs_target_sales_dataset[[#This Row],[Sales_Target]]</f>
        <v>0.93031189995261965</v>
      </c>
    </row>
    <row r="59" spans="1:11" x14ac:dyDescent="0.3">
      <c r="A59" s="2">
        <v>44619</v>
      </c>
      <c r="B59" s="3" t="s">
        <v>23</v>
      </c>
      <c r="C59" s="3" t="s">
        <v>8</v>
      </c>
      <c r="D59" s="3" t="s">
        <v>15</v>
      </c>
      <c r="E59" s="3" t="s">
        <v>21</v>
      </c>
      <c r="F59" s="3" t="s">
        <v>16</v>
      </c>
      <c r="G59" s="3">
        <v>13088.26</v>
      </c>
      <c r="H59" s="3">
        <v>13127.34</v>
      </c>
      <c r="I59" s="3" t="s">
        <v>32</v>
      </c>
      <c r="J59" s="3">
        <v>2</v>
      </c>
      <c r="K59" s="5">
        <f>actual_vs_target_sales_dataset[[#This Row],[Sales_ Amount]]/actual_vs_target_sales_dataset[[#This Row],[Sales_Target]]</f>
        <v>0.99702300694580925</v>
      </c>
    </row>
    <row r="60" spans="1:11" x14ac:dyDescent="0.3">
      <c r="A60" s="2">
        <v>44620</v>
      </c>
      <c r="B60" s="3" t="s">
        <v>17</v>
      </c>
      <c r="C60" s="3" t="s">
        <v>14</v>
      </c>
      <c r="D60" s="3" t="s">
        <v>18</v>
      </c>
      <c r="E60" s="3" t="s">
        <v>21</v>
      </c>
      <c r="F60" s="3" t="s">
        <v>30</v>
      </c>
      <c r="G60" s="3">
        <v>8742.75</v>
      </c>
      <c r="H60" s="3">
        <v>9471.34</v>
      </c>
      <c r="I60" s="3" t="s">
        <v>32</v>
      </c>
      <c r="J60" s="3">
        <v>2</v>
      </c>
      <c r="K60" s="5">
        <f>actual_vs_target_sales_dataset[[#This Row],[Sales_ Amount]]/actual_vs_target_sales_dataset[[#This Row],[Sales_Target]]</f>
        <v>0.92307424292655527</v>
      </c>
    </row>
    <row r="61" spans="1:11" x14ac:dyDescent="0.3">
      <c r="A61" s="2">
        <v>44621</v>
      </c>
      <c r="B61" s="3" t="s">
        <v>20</v>
      </c>
      <c r="C61" s="3" t="s">
        <v>22</v>
      </c>
      <c r="D61" s="3" t="s">
        <v>15</v>
      </c>
      <c r="E61" s="3" t="s">
        <v>21</v>
      </c>
      <c r="F61" s="3" t="s">
        <v>30</v>
      </c>
      <c r="G61" s="3">
        <v>8643.4500000000007</v>
      </c>
      <c r="H61" s="3">
        <v>8253.65</v>
      </c>
      <c r="I61" s="3" t="s">
        <v>33</v>
      </c>
      <c r="J61" s="3">
        <v>3</v>
      </c>
      <c r="K61" s="5">
        <f>actual_vs_target_sales_dataset[[#This Row],[Sales_ Amount]]/actual_vs_target_sales_dataset[[#This Row],[Sales_Target]]</f>
        <v>1.0472275902176613</v>
      </c>
    </row>
    <row r="62" spans="1:11" x14ac:dyDescent="0.3">
      <c r="A62" s="2">
        <v>44622</v>
      </c>
      <c r="B62" s="3" t="s">
        <v>13</v>
      </c>
      <c r="C62" s="3" t="s">
        <v>14</v>
      </c>
      <c r="D62" s="3" t="s">
        <v>9</v>
      </c>
      <c r="E62" s="3" t="s">
        <v>10</v>
      </c>
      <c r="F62" s="3" t="s">
        <v>11</v>
      </c>
      <c r="G62" s="3">
        <v>4974.28</v>
      </c>
      <c r="H62" s="3">
        <v>4736.1899999999996</v>
      </c>
      <c r="I62" s="3" t="s">
        <v>33</v>
      </c>
      <c r="J62" s="3">
        <v>3</v>
      </c>
      <c r="K62" s="5">
        <f>actual_vs_target_sales_dataset[[#This Row],[Sales_ Amount]]/actual_vs_target_sales_dataset[[#This Row],[Sales_Target]]</f>
        <v>1.0502703649980258</v>
      </c>
    </row>
    <row r="63" spans="1:11" x14ac:dyDescent="0.3">
      <c r="A63" s="2">
        <v>44623</v>
      </c>
      <c r="B63" s="3" t="s">
        <v>7</v>
      </c>
      <c r="C63" s="3" t="s">
        <v>22</v>
      </c>
      <c r="D63" s="3" t="s">
        <v>9</v>
      </c>
      <c r="E63" s="3" t="s">
        <v>21</v>
      </c>
      <c r="F63" s="3" t="s">
        <v>27</v>
      </c>
      <c r="G63" s="3">
        <v>10337.81</v>
      </c>
      <c r="H63" s="3">
        <v>10273.6</v>
      </c>
      <c r="I63" s="3" t="s">
        <v>33</v>
      </c>
      <c r="J63" s="3">
        <v>3</v>
      </c>
      <c r="K63" s="5">
        <f>actual_vs_target_sales_dataset[[#This Row],[Sales_ Amount]]/actual_vs_target_sales_dataset[[#This Row],[Sales_Target]]</f>
        <v>1.0062499999999999</v>
      </c>
    </row>
    <row r="64" spans="1:11" x14ac:dyDescent="0.3">
      <c r="A64" s="2">
        <v>44624</v>
      </c>
      <c r="B64" s="3" t="s">
        <v>17</v>
      </c>
      <c r="C64" s="3" t="s">
        <v>25</v>
      </c>
      <c r="D64" s="3" t="s">
        <v>24</v>
      </c>
      <c r="E64" s="3" t="s">
        <v>10</v>
      </c>
      <c r="F64" s="3" t="s">
        <v>28</v>
      </c>
      <c r="G64" s="3">
        <v>-5119.9399999999996</v>
      </c>
      <c r="H64" s="3">
        <v>-5339.42</v>
      </c>
      <c r="I64" s="3" t="s">
        <v>33</v>
      </c>
      <c r="J64" s="3">
        <v>3</v>
      </c>
      <c r="K64" s="5">
        <f>actual_vs_target_sales_dataset[[#This Row],[Sales_ Amount]]/actual_vs_target_sales_dataset[[#This Row],[Sales_Target]]</f>
        <v>0.95889441175258727</v>
      </c>
    </row>
    <row r="65" spans="1:11" x14ac:dyDescent="0.3">
      <c r="A65" s="2">
        <v>44625</v>
      </c>
      <c r="B65" s="3" t="s">
        <v>17</v>
      </c>
      <c r="C65" s="3" t="s">
        <v>22</v>
      </c>
      <c r="D65" s="3" t="s">
        <v>9</v>
      </c>
      <c r="E65" s="3" t="s">
        <v>21</v>
      </c>
      <c r="F65" s="3" t="s">
        <v>31</v>
      </c>
      <c r="G65" s="3">
        <v>6731.42</v>
      </c>
      <c r="H65" s="3">
        <v>6875.84</v>
      </c>
      <c r="I65" s="3" t="s">
        <v>33</v>
      </c>
      <c r="J65" s="3">
        <v>3</v>
      </c>
      <c r="K65" s="5">
        <f>actual_vs_target_sales_dataset[[#This Row],[Sales_ Amount]]/actual_vs_target_sales_dataset[[#This Row],[Sales_Target]]</f>
        <v>0.97899602084981618</v>
      </c>
    </row>
    <row r="66" spans="1:11" x14ac:dyDescent="0.3">
      <c r="A66" s="2">
        <v>44626</v>
      </c>
      <c r="B66" s="3" t="s">
        <v>20</v>
      </c>
      <c r="C66" s="3" t="s">
        <v>8</v>
      </c>
      <c r="D66" s="3" t="s">
        <v>15</v>
      </c>
      <c r="E66" s="3" t="s">
        <v>21</v>
      </c>
      <c r="F66" s="3" t="s">
        <v>27</v>
      </c>
      <c r="G66" s="3">
        <v>9819.0300000000007</v>
      </c>
      <c r="H66" s="3">
        <v>9966.1299999999992</v>
      </c>
      <c r="I66" s="3" t="s">
        <v>33</v>
      </c>
      <c r="J66" s="3">
        <v>3</v>
      </c>
      <c r="K66" s="5">
        <f>actual_vs_target_sales_dataset[[#This Row],[Sales_ Amount]]/actual_vs_target_sales_dataset[[#This Row],[Sales_Target]]</f>
        <v>0.98524000790678046</v>
      </c>
    </row>
    <row r="67" spans="1:11" x14ac:dyDescent="0.3">
      <c r="A67" s="2">
        <v>44627</v>
      </c>
      <c r="B67" s="3" t="s">
        <v>20</v>
      </c>
      <c r="C67" s="3" t="s">
        <v>14</v>
      </c>
      <c r="D67" s="3" t="s">
        <v>24</v>
      </c>
      <c r="E67" s="3" t="s">
        <v>21</v>
      </c>
      <c r="F67" s="3" t="s">
        <v>11</v>
      </c>
      <c r="G67" s="3">
        <v>-105.75</v>
      </c>
      <c r="H67" s="3">
        <v>-106.47</v>
      </c>
      <c r="I67" s="3" t="s">
        <v>33</v>
      </c>
      <c r="J67" s="3">
        <v>3</v>
      </c>
      <c r="K67" s="5">
        <f>actual_vs_target_sales_dataset[[#This Row],[Sales_ Amount]]/actual_vs_target_sales_dataset[[#This Row],[Sales_Target]]</f>
        <v>0.99323753169907014</v>
      </c>
    </row>
    <row r="68" spans="1:11" x14ac:dyDescent="0.3">
      <c r="A68" s="2">
        <v>44628</v>
      </c>
      <c r="B68" s="3" t="s">
        <v>7</v>
      </c>
      <c r="C68" s="3" t="s">
        <v>14</v>
      </c>
      <c r="D68" s="3" t="s">
        <v>15</v>
      </c>
      <c r="E68" s="3" t="s">
        <v>19</v>
      </c>
      <c r="F68" s="3" t="s">
        <v>26</v>
      </c>
      <c r="G68" s="3">
        <v>4192.1000000000004</v>
      </c>
      <c r="H68" s="3">
        <v>4155.32</v>
      </c>
      <c r="I68" s="3" t="s">
        <v>33</v>
      </c>
      <c r="J68" s="3">
        <v>3</v>
      </c>
      <c r="K68" s="5">
        <f>actual_vs_target_sales_dataset[[#This Row],[Sales_ Amount]]/actual_vs_target_sales_dataset[[#This Row],[Sales_Target]]</f>
        <v>1.0088513038707008</v>
      </c>
    </row>
    <row r="69" spans="1:11" x14ac:dyDescent="0.3">
      <c r="A69" s="2">
        <v>44629</v>
      </c>
      <c r="B69" s="3" t="s">
        <v>20</v>
      </c>
      <c r="C69" s="3" t="s">
        <v>14</v>
      </c>
      <c r="D69" s="3" t="s">
        <v>18</v>
      </c>
      <c r="E69" s="3" t="s">
        <v>21</v>
      </c>
      <c r="F69" s="3" t="s">
        <v>29</v>
      </c>
      <c r="G69" s="3">
        <v>12888.95</v>
      </c>
      <c r="H69" s="3">
        <v>11574.24</v>
      </c>
      <c r="I69" s="3" t="s">
        <v>33</v>
      </c>
      <c r="J69" s="3">
        <v>3</v>
      </c>
      <c r="K69" s="5">
        <f>actual_vs_target_sales_dataset[[#This Row],[Sales_ Amount]]/actual_vs_target_sales_dataset[[#This Row],[Sales_Target]]</f>
        <v>1.1135893155835719</v>
      </c>
    </row>
    <row r="70" spans="1:11" x14ac:dyDescent="0.3">
      <c r="A70" s="2">
        <v>44630</v>
      </c>
      <c r="B70" s="3" t="s">
        <v>17</v>
      </c>
      <c r="C70" s="3" t="s">
        <v>8</v>
      </c>
      <c r="D70" s="3" t="s">
        <v>24</v>
      </c>
      <c r="E70" s="3" t="s">
        <v>21</v>
      </c>
      <c r="F70" s="3" t="s">
        <v>31</v>
      </c>
      <c r="G70" s="3">
        <v>5626.09</v>
      </c>
      <c r="H70" s="3">
        <v>5794.84</v>
      </c>
      <c r="I70" s="3" t="s">
        <v>33</v>
      </c>
      <c r="J70" s="3">
        <v>3</v>
      </c>
      <c r="K70" s="5">
        <f>actual_vs_target_sales_dataset[[#This Row],[Sales_ Amount]]/actual_vs_target_sales_dataset[[#This Row],[Sales_Target]]</f>
        <v>0.97087926500127697</v>
      </c>
    </row>
    <row r="71" spans="1:11" x14ac:dyDescent="0.3">
      <c r="A71" s="2">
        <v>44631</v>
      </c>
      <c r="B71" s="3" t="s">
        <v>23</v>
      </c>
      <c r="C71" s="3" t="s">
        <v>8</v>
      </c>
      <c r="D71" s="3" t="s">
        <v>15</v>
      </c>
      <c r="E71" s="3" t="s">
        <v>21</v>
      </c>
      <c r="F71" s="3" t="s">
        <v>26</v>
      </c>
      <c r="G71" s="3">
        <v>14643.85</v>
      </c>
      <c r="H71" s="3">
        <v>16584.93</v>
      </c>
      <c r="I71" s="3" t="s">
        <v>33</v>
      </c>
      <c r="J71" s="3">
        <v>3</v>
      </c>
      <c r="K71" s="5">
        <f>actual_vs_target_sales_dataset[[#This Row],[Sales_ Amount]]/actual_vs_target_sales_dataset[[#This Row],[Sales_Target]]</f>
        <v>0.88296121840731312</v>
      </c>
    </row>
    <row r="72" spans="1:11" x14ac:dyDescent="0.3">
      <c r="A72" s="2">
        <v>44632</v>
      </c>
      <c r="B72" s="3" t="s">
        <v>17</v>
      </c>
      <c r="C72" s="3" t="s">
        <v>25</v>
      </c>
      <c r="D72" s="3" t="s">
        <v>15</v>
      </c>
      <c r="E72" s="3" t="s">
        <v>21</v>
      </c>
      <c r="F72" s="3" t="s">
        <v>26</v>
      </c>
      <c r="G72" s="3">
        <v>20987.67</v>
      </c>
      <c r="H72" s="3">
        <v>20270.740000000002</v>
      </c>
      <c r="I72" s="3" t="s">
        <v>33</v>
      </c>
      <c r="J72" s="3">
        <v>3</v>
      </c>
      <c r="K72" s="5">
        <f>actual_vs_target_sales_dataset[[#This Row],[Sales_ Amount]]/actual_vs_target_sales_dataset[[#This Row],[Sales_Target]]</f>
        <v>1.0353677270785377</v>
      </c>
    </row>
    <row r="73" spans="1:11" x14ac:dyDescent="0.3">
      <c r="A73" s="2">
        <v>44633</v>
      </c>
      <c r="B73" s="3" t="s">
        <v>17</v>
      </c>
      <c r="C73" s="3" t="s">
        <v>8</v>
      </c>
      <c r="D73" s="3" t="s">
        <v>24</v>
      </c>
      <c r="E73" s="3" t="s">
        <v>19</v>
      </c>
      <c r="F73" s="3" t="s">
        <v>11</v>
      </c>
      <c r="G73" s="3">
        <v>4946.09</v>
      </c>
      <c r="H73" s="3">
        <v>4986.32</v>
      </c>
      <c r="I73" s="3" t="s">
        <v>33</v>
      </c>
      <c r="J73" s="3">
        <v>3</v>
      </c>
      <c r="K73" s="5">
        <f>actual_vs_target_sales_dataset[[#This Row],[Sales_ Amount]]/actual_vs_target_sales_dataset[[#This Row],[Sales_Target]]</f>
        <v>0.99193192574884892</v>
      </c>
    </row>
    <row r="74" spans="1:11" x14ac:dyDescent="0.3">
      <c r="A74" s="2">
        <v>44634</v>
      </c>
      <c r="B74" s="3" t="s">
        <v>13</v>
      </c>
      <c r="C74" s="3" t="s">
        <v>8</v>
      </c>
      <c r="D74" s="3" t="s">
        <v>18</v>
      </c>
      <c r="E74" s="3" t="s">
        <v>21</v>
      </c>
      <c r="F74" s="3" t="s">
        <v>16</v>
      </c>
      <c r="G74" s="3">
        <v>7293.01</v>
      </c>
      <c r="H74" s="3">
        <v>6887.23</v>
      </c>
      <c r="I74" s="3" t="s">
        <v>33</v>
      </c>
      <c r="J74" s="3">
        <v>3</v>
      </c>
      <c r="K74" s="5">
        <f>actual_vs_target_sales_dataset[[#This Row],[Sales_ Amount]]/actual_vs_target_sales_dataset[[#This Row],[Sales_Target]]</f>
        <v>1.0589177361580782</v>
      </c>
    </row>
    <row r="75" spans="1:11" x14ac:dyDescent="0.3">
      <c r="A75" s="2">
        <v>44635</v>
      </c>
      <c r="B75" s="3" t="s">
        <v>17</v>
      </c>
      <c r="C75" s="3" t="s">
        <v>25</v>
      </c>
      <c r="D75" s="3" t="s">
        <v>15</v>
      </c>
      <c r="E75" s="3" t="s">
        <v>10</v>
      </c>
      <c r="F75" s="3" t="s">
        <v>28</v>
      </c>
      <c r="G75" s="3">
        <v>3742.54</v>
      </c>
      <c r="H75" s="3">
        <v>3647.95</v>
      </c>
      <c r="I75" s="3" t="s">
        <v>33</v>
      </c>
      <c r="J75" s="3">
        <v>3</v>
      </c>
      <c r="K75" s="5">
        <f>actual_vs_target_sales_dataset[[#This Row],[Sales_ Amount]]/actual_vs_target_sales_dataset[[#This Row],[Sales_Target]]</f>
        <v>1.025929631710961</v>
      </c>
    </row>
    <row r="76" spans="1:11" x14ac:dyDescent="0.3">
      <c r="A76" s="2">
        <v>44636</v>
      </c>
      <c r="B76" s="3" t="s">
        <v>20</v>
      </c>
      <c r="C76" s="3" t="s">
        <v>8</v>
      </c>
      <c r="D76" s="3" t="s">
        <v>24</v>
      </c>
      <c r="E76" s="3" t="s">
        <v>21</v>
      </c>
      <c r="F76" s="3" t="s">
        <v>31</v>
      </c>
      <c r="G76" s="3">
        <v>662.24</v>
      </c>
      <c r="H76" s="3">
        <v>779.86</v>
      </c>
      <c r="I76" s="3" t="s">
        <v>33</v>
      </c>
      <c r="J76" s="3">
        <v>3</v>
      </c>
      <c r="K76" s="5">
        <f>actual_vs_target_sales_dataset[[#This Row],[Sales_ Amount]]/actual_vs_target_sales_dataset[[#This Row],[Sales_Target]]</f>
        <v>0.84917805760008203</v>
      </c>
    </row>
    <row r="77" spans="1:11" x14ac:dyDescent="0.3">
      <c r="A77" s="2">
        <v>44637</v>
      </c>
      <c r="B77" s="3" t="s">
        <v>17</v>
      </c>
      <c r="C77" s="3" t="s">
        <v>25</v>
      </c>
      <c r="D77" s="3" t="s">
        <v>24</v>
      </c>
      <c r="E77" s="3" t="s">
        <v>21</v>
      </c>
      <c r="F77" s="3" t="s">
        <v>26</v>
      </c>
      <c r="G77" s="3">
        <v>7757.37</v>
      </c>
      <c r="H77" s="3">
        <v>7317.6</v>
      </c>
      <c r="I77" s="3" t="s">
        <v>33</v>
      </c>
      <c r="J77" s="3">
        <v>3</v>
      </c>
      <c r="K77" s="5">
        <f>actual_vs_target_sales_dataset[[#This Row],[Sales_ Amount]]/actual_vs_target_sales_dataset[[#This Row],[Sales_Target]]</f>
        <v>1.0600975729747457</v>
      </c>
    </row>
    <row r="78" spans="1:11" x14ac:dyDescent="0.3">
      <c r="A78" s="2">
        <v>44638</v>
      </c>
      <c r="B78" s="3" t="s">
        <v>23</v>
      </c>
      <c r="C78" s="3" t="s">
        <v>14</v>
      </c>
      <c r="D78" s="3" t="s">
        <v>9</v>
      </c>
      <c r="E78" s="3" t="s">
        <v>10</v>
      </c>
      <c r="F78" s="3" t="s">
        <v>31</v>
      </c>
      <c r="G78" s="3">
        <v>-938.69</v>
      </c>
      <c r="H78" s="3">
        <v>-942.14</v>
      </c>
      <c r="I78" s="3" t="s">
        <v>33</v>
      </c>
      <c r="J78" s="3">
        <v>3</v>
      </c>
      <c r="K78" s="5">
        <f>actual_vs_target_sales_dataset[[#This Row],[Sales_ Amount]]/actual_vs_target_sales_dataset[[#This Row],[Sales_Target]]</f>
        <v>0.99633812384571308</v>
      </c>
    </row>
    <row r="79" spans="1:11" x14ac:dyDescent="0.3">
      <c r="A79" s="2">
        <v>44639</v>
      </c>
      <c r="B79" s="3" t="s">
        <v>7</v>
      </c>
      <c r="C79" s="3" t="s">
        <v>8</v>
      </c>
      <c r="D79" s="3" t="s">
        <v>15</v>
      </c>
      <c r="E79" s="3" t="s">
        <v>10</v>
      </c>
      <c r="F79" s="3" t="s">
        <v>11</v>
      </c>
      <c r="G79" s="3">
        <v>-4575.7700000000004</v>
      </c>
      <c r="H79" s="3">
        <v>-4018.72</v>
      </c>
      <c r="I79" s="3" t="s">
        <v>33</v>
      </c>
      <c r="J79" s="3">
        <v>3</v>
      </c>
      <c r="K79" s="5">
        <f>actual_vs_target_sales_dataset[[#This Row],[Sales_ Amount]]/actual_vs_target_sales_dataset[[#This Row],[Sales_Target]]</f>
        <v>1.1386137874746189</v>
      </c>
    </row>
    <row r="80" spans="1:11" x14ac:dyDescent="0.3">
      <c r="A80" s="2">
        <v>44640</v>
      </c>
      <c r="B80" s="3" t="s">
        <v>20</v>
      </c>
      <c r="C80" s="3" t="s">
        <v>22</v>
      </c>
      <c r="D80" s="3" t="s">
        <v>18</v>
      </c>
      <c r="E80" s="3" t="s">
        <v>10</v>
      </c>
      <c r="F80" s="3" t="s">
        <v>28</v>
      </c>
      <c r="G80" s="3">
        <v>8857.27</v>
      </c>
      <c r="H80" s="3">
        <v>9598.4699999999993</v>
      </c>
      <c r="I80" s="3" t="s">
        <v>33</v>
      </c>
      <c r="J80" s="3">
        <v>3</v>
      </c>
      <c r="K80" s="5">
        <f>actual_vs_target_sales_dataset[[#This Row],[Sales_ Amount]]/actual_vs_target_sales_dataset[[#This Row],[Sales_Target]]</f>
        <v>0.92277935962710733</v>
      </c>
    </row>
    <row r="81" spans="1:11" x14ac:dyDescent="0.3">
      <c r="A81" s="2">
        <v>44641</v>
      </c>
      <c r="B81" s="3" t="s">
        <v>20</v>
      </c>
      <c r="C81" s="3" t="s">
        <v>22</v>
      </c>
      <c r="D81" s="3" t="s">
        <v>18</v>
      </c>
      <c r="E81" s="3" t="s">
        <v>19</v>
      </c>
      <c r="F81" s="3" t="s">
        <v>31</v>
      </c>
      <c r="G81" s="3">
        <v>11857.81</v>
      </c>
      <c r="H81" s="3">
        <v>12370.08</v>
      </c>
      <c r="I81" s="3" t="s">
        <v>33</v>
      </c>
      <c r="J81" s="3">
        <v>3</v>
      </c>
      <c r="K81" s="5">
        <f>actual_vs_target_sales_dataset[[#This Row],[Sales_ Amount]]/actual_vs_target_sales_dataset[[#This Row],[Sales_Target]]</f>
        <v>0.95858798002923173</v>
      </c>
    </row>
    <row r="82" spans="1:11" x14ac:dyDescent="0.3">
      <c r="A82" s="2">
        <v>44642</v>
      </c>
      <c r="B82" s="3" t="s">
        <v>13</v>
      </c>
      <c r="C82" s="3" t="s">
        <v>14</v>
      </c>
      <c r="D82" s="3" t="s">
        <v>18</v>
      </c>
      <c r="E82" s="3" t="s">
        <v>21</v>
      </c>
      <c r="F82" s="3" t="s">
        <v>31</v>
      </c>
      <c r="G82" s="3">
        <v>6675.49</v>
      </c>
      <c r="H82" s="3">
        <v>6760.46</v>
      </c>
      <c r="I82" s="3" t="s">
        <v>33</v>
      </c>
      <c r="J82" s="3">
        <v>3</v>
      </c>
      <c r="K82" s="5">
        <f>actual_vs_target_sales_dataset[[#This Row],[Sales_ Amount]]/actual_vs_target_sales_dataset[[#This Row],[Sales_Target]]</f>
        <v>0.98743132863740035</v>
      </c>
    </row>
    <row r="83" spans="1:11" x14ac:dyDescent="0.3">
      <c r="A83" s="2">
        <v>44643</v>
      </c>
      <c r="B83" s="3" t="s">
        <v>13</v>
      </c>
      <c r="C83" s="3" t="s">
        <v>22</v>
      </c>
      <c r="D83" s="3" t="s">
        <v>18</v>
      </c>
      <c r="E83" s="3" t="s">
        <v>10</v>
      </c>
      <c r="F83" s="3" t="s">
        <v>28</v>
      </c>
      <c r="G83" s="3">
        <v>-4997.2</v>
      </c>
      <c r="H83" s="3">
        <v>-4572.72</v>
      </c>
      <c r="I83" s="3" t="s">
        <v>33</v>
      </c>
      <c r="J83" s="3">
        <v>3</v>
      </c>
      <c r="K83" s="5">
        <f>actual_vs_target_sales_dataset[[#This Row],[Sales_ Amount]]/actual_vs_target_sales_dataset[[#This Row],[Sales_Target]]</f>
        <v>1.0928287758708164</v>
      </c>
    </row>
    <row r="84" spans="1:11" x14ac:dyDescent="0.3">
      <c r="A84" s="2">
        <v>44644</v>
      </c>
      <c r="B84" s="3" t="s">
        <v>7</v>
      </c>
      <c r="C84" s="3" t="s">
        <v>14</v>
      </c>
      <c r="D84" s="3" t="s">
        <v>15</v>
      </c>
      <c r="E84" s="3" t="s">
        <v>10</v>
      </c>
      <c r="F84" s="3" t="s">
        <v>11</v>
      </c>
      <c r="G84" s="3">
        <v>-2102.21</v>
      </c>
      <c r="H84" s="3">
        <v>-1857.96</v>
      </c>
      <c r="I84" s="3" t="s">
        <v>33</v>
      </c>
      <c r="J84" s="3">
        <v>3</v>
      </c>
      <c r="K84" s="5">
        <f>actual_vs_target_sales_dataset[[#This Row],[Sales_ Amount]]/actual_vs_target_sales_dataset[[#This Row],[Sales_Target]]</f>
        <v>1.131461387758617</v>
      </c>
    </row>
    <row r="85" spans="1:11" x14ac:dyDescent="0.3">
      <c r="A85" s="2">
        <v>44645</v>
      </c>
      <c r="B85" s="3" t="s">
        <v>20</v>
      </c>
      <c r="C85" s="3" t="s">
        <v>14</v>
      </c>
      <c r="D85" s="3" t="s">
        <v>18</v>
      </c>
      <c r="E85" s="3" t="s">
        <v>21</v>
      </c>
      <c r="F85" s="3" t="s">
        <v>31</v>
      </c>
      <c r="G85" s="3">
        <v>10762.42</v>
      </c>
      <c r="H85" s="3">
        <v>10682.15</v>
      </c>
      <c r="I85" s="3" t="s">
        <v>33</v>
      </c>
      <c r="J85" s="3">
        <v>3</v>
      </c>
      <c r="K85" s="5">
        <f>actual_vs_target_sales_dataset[[#This Row],[Sales_ Amount]]/actual_vs_target_sales_dataset[[#This Row],[Sales_Target]]</f>
        <v>1.0075144048716784</v>
      </c>
    </row>
    <row r="86" spans="1:11" x14ac:dyDescent="0.3">
      <c r="A86" s="2">
        <v>44646</v>
      </c>
      <c r="B86" s="3" t="s">
        <v>13</v>
      </c>
      <c r="C86" s="3" t="s">
        <v>22</v>
      </c>
      <c r="D86" s="3" t="s">
        <v>15</v>
      </c>
      <c r="E86" s="3" t="s">
        <v>10</v>
      </c>
      <c r="F86" s="3" t="s">
        <v>26</v>
      </c>
      <c r="G86" s="3">
        <v>12991.76</v>
      </c>
      <c r="H86" s="3">
        <v>11212.9</v>
      </c>
      <c r="I86" s="3" t="s">
        <v>33</v>
      </c>
      <c r="J86" s="3">
        <v>3</v>
      </c>
      <c r="K86" s="5">
        <f>actual_vs_target_sales_dataset[[#This Row],[Sales_ Amount]]/actual_vs_target_sales_dataset[[#This Row],[Sales_Target]]</f>
        <v>1.1586440617503055</v>
      </c>
    </row>
    <row r="87" spans="1:11" x14ac:dyDescent="0.3">
      <c r="A87" s="2">
        <v>44647</v>
      </c>
      <c r="B87" s="3" t="s">
        <v>13</v>
      </c>
      <c r="C87" s="3" t="s">
        <v>14</v>
      </c>
      <c r="D87" s="3" t="s">
        <v>24</v>
      </c>
      <c r="E87" s="3" t="s">
        <v>21</v>
      </c>
      <c r="F87" s="3" t="s">
        <v>30</v>
      </c>
      <c r="G87" s="3">
        <v>11736.59</v>
      </c>
      <c r="H87" s="3">
        <v>11015.3</v>
      </c>
      <c r="I87" s="3" t="s">
        <v>33</v>
      </c>
      <c r="J87" s="3">
        <v>3</v>
      </c>
      <c r="K87" s="5">
        <f>actual_vs_target_sales_dataset[[#This Row],[Sales_ Amount]]/actual_vs_target_sales_dataset[[#This Row],[Sales_Target]]</f>
        <v>1.0654807404246822</v>
      </c>
    </row>
    <row r="88" spans="1:11" x14ac:dyDescent="0.3">
      <c r="A88" s="2">
        <v>44648</v>
      </c>
      <c r="B88" s="3" t="s">
        <v>20</v>
      </c>
      <c r="C88" s="3" t="s">
        <v>14</v>
      </c>
      <c r="D88" s="3" t="s">
        <v>9</v>
      </c>
      <c r="E88" s="3" t="s">
        <v>10</v>
      </c>
      <c r="F88" s="3" t="s">
        <v>27</v>
      </c>
      <c r="G88" s="3">
        <v>6424.47</v>
      </c>
      <c r="H88" s="3">
        <v>6502.06</v>
      </c>
      <c r="I88" s="3" t="s">
        <v>33</v>
      </c>
      <c r="J88" s="3">
        <v>3</v>
      </c>
      <c r="K88" s="5">
        <f>actual_vs_target_sales_dataset[[#This Row],[Sales_ Amount]]/actual_vs_target_sales_dataset[[#This Row],[Sales_Target]]</f>
        <v>0.98806685881089995</v>
      </c>
    </row>
    <row r="89" spans="1:11" x14ac:dyDescent="0.3">
      <c r="A89" s="2">
        <v>44649</v>
      </c>
      <c r="B89" s="3" t="s">
        <v>7</v>
      </c>
      <c r="C89" s="3" t="s">
        <v>8</v>
      </c>
      <c r="D89" s="3" t="s">
        <v>9</v>
      </c>
      <c r="E89" s="3" t="s">
        <v>21</v>
      </c>
      <c r="F89" s="3" t="s">
        <v>29</v>
      </c>
      <c r="G89" s="3">
        <v>2288.7199999999998</v>
      </c>
      <c r="H89" s="3">
        <v>2414.02</v>
      </c>
      <c r="I89" s="3" t="s">
        <v>33</v>
      </c>
      <c r="J89" s="3">
        <v>3</v>
      </c>
      <c r="K89" s="5">
        <f>actual_vs_target_sales_dataset[[#This Row],[Sales_ Amount]]/actual_vs_target_sales_dataset[[#This Row],[Sales_Target]]</f>
        <v>0.94809487908136625</v>
      </c>
    </row>
    <row r="90" spans="1:11" x14ac:dyDescent="0.3">
      <c r="A90" s="2">
        <v>44650</v>
      </c>
      <c r="B90" s="3" t="s">
        <v>13</v>
      </c>
      <c r="C90" s="3" t="s">
        <v>22</v>
      </c>
      <c r="D90" s="3" t="s">
        <v>24</v>
      </c>
      <c r="E90" s="3" t="s">
        <v>21</v>
      </c>
      <c r="F90" s="3" t="s">
        <v>27</v>
      </c>
      <c r="G90" s="3">
        <v>-4723.9799999999996</v>
      </c>
      <c r="H90" s="3">
        <v>-4470.72</v>
      </c>
      <c r="I90" s="3" t="s">
        <v>33</v>
      </c>
      <c r="J90" s="3">
        <v>3</v>
      </c>
      <c r="K90" s="5">
        <f>actual_vs_target_sales_dataset[[#This Row],[Sales_ Amount]]/actual_vs_target_sales_dataset[[#This Row],[Sales_Target]]</f>
        <v>1.0566485935151384</v>
      </c>
    </row>
    <row r="91" spans="1:11" x14ac:dyDescent="0.3">
      <c r="A91" s="2">
        <v>44651</v>
      </c>
      <c r="B91" s="3" t="s">
        <v>7</v>
      </c>
      <c r="C91" s="3" t="s">
        <v>22</v>
      </c>
      <c r="D91" s="3" t="s">
        <v>9</v>
      </c>
      <c r="E91" s="3" t="s">
        <v>19</v>
      </c>
      <c r="F91" s="3" t="s">
        <v>26</v>
      </c>
      <c r="G91" s="3">
        <v>14550.78</v>
      </c>
      <c r="H91" s="3">
        <v>15339.65</v>
      </c>
      <c r="I91" s="3" t="s">
        <v>33</v>
      </c>
      <c r="J91" s="3">
        <v>3</v>
      </c>
      <c r="K91" s="5">
        <f>actual_vs_target_sales_dataset[[#This Row],[Sales_ Amount]]/actual_vs_target_sales_dataset[[#This Row],[Sales_Target]]</f>
        <v>0.94857314215122257</v>
      </c>
    </row>
    <row r="92" spans="1:11" x14ac:dyDescent="0.3">
      <c r="A92" s="2">
        <v>44652</v>
      </c>
      <c r="B92" s="3" t="s">
        <v>7</v>
      </c>
      <c r="C92" s="3" t="s">
        <v>25</v>
      </c>
      <c r="D92" s="3" t="s">
        <v>18</v>
      </c>
      <c r="E92" s="3" t="s">
        <v>21</v>
      </c>
      <c r="F92" s="3" t="s">
        <v>27</v>
      </c>
      <c r="G92" s="3">
        <v>5138.71</v>
      </c>
      <c r="H92" s="3">
        <v>5108.47</v>
      </c>
      <c r="I92" s="3" t="s">
        <v>34</v>
      </c>
      <c r="J92" s="3">
        <v>4</v>
      </c>
      <c r="K92" s="5">
        <f>actual_vs_target_sales_dataset[[#This Row],[Sales_ Amount]]/actual_vs_target_sales_dataset[[#This Row],[Sales_Target]]</f>
        <v>1.0059195806180714</v>
      </c>
    </row>
    <row r="93" spans="1:11" x14ac:dyDescent="0.3">
      <c r="A93" s="2">
        <v>44653</v>
      </c>
      <c r="B93" s="3" t="s">
        <v>17</v>
      </c>
      <c r="C93" s="3" t="s">
        <v>14</v>
      </c>
      <c r="D93" s="3" t="s">
        <v>15</v>
      </c>
      <c r="E93" s="3" t="s">
        <v>21</v>
      </c>
      <c r="F93" s="3" t="s">
        <v>28</v>
      </c>
      <c r="G93" s="3">
        <v>10565.66</v>
      </c>
      <c r="H93" s="3">
        <v>11629.73</v>
      </c>
      <c r="I93" s="3" t="s">
        <v>34</v>
      </c>
      <c r="J93" s="3">
        <v>4</v>
      </c>
      <c r="K93" s="5">
        <f>actual_vs_target_sales_dataset[[#This Row],[Sales_ Amount]]/actual_vs_target_sales_dataset[[#This Row],[Sales_Target]]</f>
        <v>0.90850432469197484</v>
      </c>
    </row>
    <row r="94" spans="1:11" x14ac:dyDescent="0.3">
      <c r="A94" s="2">
        <v>44654</v>
      </c>
      <c r="B94" s="3" t="s">
        <v>23</v>
      </c>
      <c r="C94" s="3" t="s">
        <v>14</v>
      </c>
      <c r="D94" s="3" t="s">
        <v>15</v>
      </c>
      <c r="E94" s="3" t="s">
        <v>19</v>
      </c>
      <c r="F94" s="3" t="s">
        <v>30</v>
      </c>
      <c r="G94" s="3">
        <v>6573.79</v>
      </c>
      <c r="H94" s="3">
        <v>6628.09</v>
      </c>
      <c r="I94" s="3" t="s">
        <v>34</v>
      </c>
      <c r="J94" s="3">
        <v>4</v>
      </c>
      <c r="K94" s="5">
        <f>actual_vs_target_sales_dataset[[#This Row],[Sales_ Amount]]/actual_vs_target_sales_dataset[[#This Row],[Sales_Target]]</f>
        <v>0.99180759464642154</v>
      </c>
    </row>
    <row r="95" spans="1:11" x14ac:dyDescent="0.3">
      <c r="A95" s="2">
        <v>44655</v>
      </c>
      <c r="B95" s="3" t="s">
        <v>7</v>
      </c>
      <c r="C95" s="3" t="s">
        <v>22</v>
      </c>
      <c r="D95" s="3" t="s">
        <v>9</v>
      </c>
      <c r="E95" s="3" t="s">
        <v>19</v>
      </c>
      <c r="F95" s="3" t="s">
        <v>30</v>
      </c>
      <c r="G95" s="3">
        <v>10881.43</v>
      </c>
      <c r="H95" s="3">
        <v>11403.98</v>
      </c>
      <c r="I95" s="3" t="s">
        <v>34</v>
      </c>
      <c r="J95" s="3">
        <v>4</v>
      </c>
      <c r="K95" s="5">
        <f>actual_vs_target_sales_dataset[[#This Row],[Sales_ Amount]]/actual_vs_target_sales_dataset[[#This Row],[Sales_Target]]</f>
        <v>0.95417827810992306</v>
      </c>
    </row>
    <row r="96" spans="1:11" x14ac:dyDescent="0.3">
      <c r="A96" s="2">
        <v>44656</v>
      </c>
      <c r="B96" s="3" t="s">
        <v>13</v>
      </c>
      <c r="C96" s="3" t="s">
        <v>25</v>
      </c>
      <c r="D96" s="3" t="s">
        <v>18</v>
      </c>
      <c r="E96" s="3" t="s">
        <v>19</v>
      </c>
      <c r="F96" s="3" t="s">
        <v>11</v>
      </c>
      <c r="G96" s="3">
        <v>11289.3</v>
      </c>
      <c r="H96" s="3">
        <v>12270.68</v>
      </c>
      <c r="I96" s="3" t="s">
        <v>34</v>
      </c>
      <c r="J96" s="3">
        <v>4</v>
      </c>
      <c r="K96" s="5">
        <f>actual_vs_target_sales_dataset[[#This Row],[Sales_ Amount]]/actual_vs_target_sales_dataset[[#This Row],[Sales_Target]]</f>
        <v>0.92002236224887279</v>
      </c>
    </row>
    <row r="97" spans="1:11" x14ac:dyDescent="0.3">
      <c r="A97" s="2">
        <v>44657</v>
      </c>
      <c r="B97" s="3" t="s">
        <v>17</v>
      </c>
      <c r="C97" s="3" t="s">
        <v>22</v>
      </c>
      <c r="D97" s="3" t="s">
        <v>15</v>
      </c>
      <c r="E97" s="3" t="s">
        <v>10</v>
      </c>
      <c r="F97" s="3" t="s">
        <v>16</v>
      </c>
      <c r="G97" s="3">
        <v>8444.86</v>
      </c>
      <c r="H97" s="3">
        <v>9156.65</v>
      </c>
      <c r="I97" s="3" t="s">
        <v>34</v>
      </c>
      <c r="J97" s="3">
        <v>4</v>
      </c>
      <c r="K97" s="5">
        <f>actual_vs_target_sales_dataset[[#This Row],[Sales_ Amount]]/actual_vs_target_sales_dataset[[#This Row],[Sales_Target]]</f>
        <v>0.92226523892471601</v>
      </c>
    </row>
    <row r="98" spans="1:11" x14ac:dyDescent="0.3">
      <c r="A98" s="2">
        <v>44658</v>
      </c>
      <c r="B98" s="3" t="s">
        <v>20</v>
      </c>
      <c r="C98" s="3" t="s">
        <v>25</v>
      </c>
      <c r="D98" s="3" t="s">
        <v>24</v>
      </c>
      <c r="E98" s="3" t="s">
        <v>19</v>
      </c>
      <c r="F98" s="3" t="s">
        <v>26</v>
      </c>
      <c r="G98" s="3">
        <v>9133.36</v>
      </c>
      <c r="H98" s="3">
        <v>8329.44</v>
      </c>
      <c r="I98" s="3" t="s">
        <v>34</v>
      </c>
      <c r="J98" s="3">
        <v>4</v>
      </c>
      <c r="K98" s="5">
        <f>actual_vs_target_sales_dataset[[#This Row],[Sales_ Amount]]/actual_vs_target_sales_dataset[[#This Row],[Sales_Target]]</f>
        <v>1.0965154920378801</v>
      </c>
    </row>
    <row r="99" spans="1:11" x14ac:dyDescent="0.3">
      <c r="A99" s="2">
        <v>44659</v>
      </c>
      <c r="B99" s="3" t="s">
        <v>23</v>
      </c>
      <c r="C99" s="3" t="s">
        <v>8</v>
      </c>
      <c r="D99" s="3" t="s">
        <v>15</v>
      </c>
      <c r="E99" s="3" t="s">
        <v>10</v>
      </c>
      <c r="F99" s="3" t="s">
        <v>30</v>
      </c>
      <c r="G99" s="3">
        <v>-1045.96</v>
      </c>
      <c r="H99" s="3">
        <v>-1214.5899999999999</v>
      </c>
      <c r="I99" s="3" t="s">
        <v>34</v>
      </c>
      <c r="J99" s="3">
        <v>4</v>
      </c>
      <c r="K99" s="5">
        <f>actual_vs_target_sales_dataset[[#This Row],[Sales_ Amount]]/actual_vs_target_sales_dataset[[#This Row],[Sales_Target]]</f>
        <v>0.8611630262063743</v>
      </c>
    </row>
    <row r="100" spans="1:11" x14ac:dyDescent="0.3">
      <c r="A100" s="2">
        <v>44660</v>
      </c>
      <c r="B100" s="3" t="s">
        <v>20</v>
      </c>
      <c r="C100" s="3" t="s">
        <v>8</v>
      </c>
      <c r="D100" s="3" t="s">
        <v>24</v>
      </c>
      <c r="E100" s="3" t="s">
        <v>10</v>
      </c>
      <c r="F100" s="3" t="s">
        <v>30</v>
      </c>
      <c r="G100" s="3">
        <v>16434.82</v>
      </c>
      <c r="H100" s="3">
        <v>15831.96</v>
      </c>
      <c r="I100" s="3" t="s">
        <v>34</v>
      </c>
      <c r="J100" s="3">
        <v>4</v>
      </c>
      <c r="K100" s="5">
        <f>actual_vs_target_sales_dataset[[#This Row],[Sales_ Amount]]/actual_vs_target_sales_dataset[[#This Row],[Sales_Target]]</f>
        <v>1.0380786712447481</v>
      </c>
    </row>
    <row r="101" spans="1:11" x14ac:dyDescent="0.3">
      <c r="A101" s="2">
        <v>44661</v>
      </c>
      <c r="B101" s="3" t="s">
        <v>17</v>
      </c>
      <c r="C101" s="3" t="s">
        <v>25</v>
      </c>
      <c r="D101" s="3" t="s">
        <v>15</v>
      </c>
      <c r="E101" s="3" t="s">
        <v>19</v>
      </c>
      <c r="F101" s="3" t="s">
        <v>29</v>
      </c>
      <c r="G101" s="3">
        <v>14548.42</v>
      </c>
      <c r="H101" s="3">
        <v>15957.3</v>
      </c>
      <c r="I101" s="3" t="s">
        <v>34</v>
      </c>
      <c r="J101" s="3">
        <v>4</v>
      </c>
      <c r="K101" s="5">
        <f>actual_vs_target_sales_dataset[[#This Row],[Sales_ Amount]]/actual_vs_target_sales_dataset[[#This Row],[Sales_Target]]</f>
        <v>0.91170937439291111</v>
      </c>
    </row>
    <row r="102" spans="1:11" x14ac:dyDescent="0.3">
      <c r="A102" s="2">
        <v>44662</v>
      </c>
      <c r="B102" s="3" t="s">
        <v>20</v>
      </c>
      <c r="C102" s="3" t="s">
        <v>25</v>
      </c>
      <c r="D102" s="3" t="s">
        <v>9</v>
      </c>
      <c r="E102" s="3" t="s">
        <v>21</v>
      </c>
      <c r="F102" s="3" t="s">
        <v>27</v>
      </c>
      <c r="G102" s="3">
        <v>-5596.32</v>
      </c>
      <c r="H102" s="3">
        <v>-4998.37</v>
      </c>
      <c r="I102" s="3" t="s">
        <v>34</v>
      </c>
      <c r="J102" s="3">
        <v>4</v>
      </c>
      <c r="K102" s="5">
        <f>actual_vs_target_sales_dataset[[#This Row],[Sales_ Amount]]/actual_vs_target_sales_dataset[[#This Row],[Sales_Target]]</f>
        <v>1.1196289990536914</v>
      </c>
    </row>
    <row r="103" spans="1:11" x14ac:dyDescent="0.3">
      <c r="A103" s="2">
        <v>44663</v>
      </c>
      <c r="B103" s="3" t="s">
        <v>13</v>
      </c>
      <c r="C103" s="3" t="s">
        <v>8</v>
      </c>
      <c r="D103" s="3" t="s">
        <v>9</v>
      </c>
      <c r="E103" s="3" t="s">
        <v>19</v>
      </c>
      <c r="F103" s="3" t="s">
        <v>16</v>
      </c>
      <c r="G103" s="3">
        <v>18536.990000000002</v>
      </c>
      <c r="H103" s="3">
        <v>15907.76</v>
      </c>
      <c r="I103" s="3" t="s">
        <v>34</v>
      </c>
      <c r="J103" s="3">
        <v>4</v>
      </c>
      <c r="K103" s="5">
        <f>actual_vs_target_sales_dataset[[#This Row],[Sales_ Amount]]/actual_vs_target_sales_dataset[[#This Row],[Sales_Target]]</f>
        <v>1.1652797125428094</v>
      </c>
    </row>
    <row r="104" spans="1:11" x14ac:dyDescent="0.3">
      <c r="A104" s="2">
        <v>44664</v>
      </c>
      <c r="B104" s="3" t="s">
        <v>17</v>
      </c>
      <c r="C104" s="3" t="s">
        <v>22</v>
      </c>
      <c r="D104" s="3" t="s">
        <v>18</v>
      </c>
      <c r="E104" s="3" t="s">
        <v>19</v>
      </c>
      <c r="F104" s="3" t="s">
        <v>31</v>
      </c>
      <c r="G104" s="3">
        <v>3689.52</v>
      </c>
      <c r="H104" s="3">
        <v>3119.29</v>
      </c>
      <c r="I104" s="3" t="s">
        <v>34</v>
      </c>
      <c r="J104" s="3">
        <v>4</v>
      </c>
      <c r="K104" s="5">
        <f>actual_vs_target_sales_dataset[[#This Row],[Sales_ Amount]]/actual_vs_target_sales_dataset[[#This Row],[Sales_Target]]</f>
        <v>1.1828076260943996</v>
      </c>
    </row>
    <row r="105" spans="1:11" x14ac:dyDescent="0.3">
      <c r="A105" s="2">
        <v>44665</v>
      </c>
      <c r="B105" s="3" t="s">
        <v>13</v>
      </c>
      <c r="C105" s="3" t="s">
        <v>25</v>
      </c>
      <c r="D105" s="3" t="s">
        <v>18</v>
      </c>
      <c r="E105" s="3" t="s">
        <v>21</v>
      </c>
      <c r="F105" s="3" t="s">
        <v>11</v>
      </c>
      <c r="G105" s="3">
        <v>13529.93</v>
      </c>
      <c r="H105" s="3">
        <v>14125.74</v>
      </c>
      <c r="I105" s="3" t="s">
        <v>34</v>
      </c>
      <c r="J105" s="3">
        <v>4</v>
      </c>
      <c r="K105" s="5">
        <f>actual_vs_target_sales_dataset[[#This Row],[Sales_ Amount]]/actual_vs_target_sales_dataset[[#This Row],[Sales_Target]]</f>
        <v>0.95782097079515838</v>
      </c>
    </row>
    <row r="106" spans="1:11" x14ac:dyDescent="0.3">
      <c r="A106" s="2">
        <v>44666</v>
      </c>
      <c r="B106" s="3" t="s">
        <v>17</v>
      </c>
      <c r="C106" s="3" t="s">
        <v>8</v>
      </c>
      <c r="D106" s="3" t="s">
        <v>9</v>
      </c>
      <c r="E106" s="3" t="s">
        <v>19</v>
      </c>
      <c r="F106" s="3" t="s">
        <v>27</v>
      </c>
      <c r="G106" s="3">
        <v>-2277.7399999999998</v>
      </c>
      <c r="H106" s="3">
        <v>-2567.92</v>
      </c>
      <c r="I106" s="3" t="s">
        <v>34</v>
      </c>
      <c r="J106" s="3">
        <v>4</v>
      </c>
      <c r="K106" s="5">
        <f>actual_vs_target_sales_dataset[[#This Row],[Sales_ Amount]]/actual_vs_target_sales_dataset[[#This Row],[Sales_Target]]</f>
        <v>0.88699803732203486</v>
      </c>
    </row>
    <row r="107" spans="1:11" x14ac:dyDescent="0.3">
      <c r="A107" s="2">
        <v>44667</v>
      </c>
      <c r="B107" s="3" t="s">
        <v>17</v>
      </c>
      <c r="C107" s="3" t="s">
        <v>14</v>
      </c>
      <c r="D107" s="3" t="s">
        <v>9</v>
      </c>
      <c r="E107" s="3" t="s">
        <v>10</v>
      </c>
      <c r="F107" s="3" t="s">
        <v>31</v>
      </c>
      <c r="G107" s="3">
        <v>10807.88</v>
      </c>
      <c r="H107" s="3">
        <v>11078.59</v>
      </c>
      <c r="I107" s="3" t="s">
        <v>34</v>
      </c>
      <c r="J107" s="3">
        <v>4</v>
      </c>
      <c r="K107" s="5">
        <f>actual_vs_target_sales_dataset[[#This Row],[Sales_ Amount]]/actual_vs_target_sales_dataset[[#This Row],[Sales_Target]]</f>
        <v>0.9755645799691115</v>
      </c>
    </row>
    <row r="108" spans="1:11" x14ac:dyDescent="0.3">
      <c r="A108" s="2">
        <v>44668</v>
      </c>
      <c r="B108" s="3" t="s">
        <v>23</v>
      </c>
      <c r="C108" s="3" t="s">
        <v>25</v>
      </c>
      <c r="D108" s="3" t="s">
        <v>9</v>
      </c>
      <c r="E108" s="3" t="s">
        <v>10</v>
      </c>
      <c r="F108" s="3" t="s">
        <v>30</v>
      </c>
      <c r="G108" s="3">
        <v>1721.07</v>
      </c>
      <c r="H108" s="3">
        <v>1874.95</v>
      </c>
      <c r="I108" s="3" t="s">
        <v>34</v>
      </c>
      <c r="J108" s="3">
        <v>4</v>
      </c>
      <c r="K108" s="5">
        <f>actual_vs_target_sales_dataset[[#This Row],[Sales_ Amount]]/actual_vs_target_sales_dataset[[#This Row],[Sales_Target]]</f>
        <v>0.91792847809274913</v>
      </c>
    </row>
    <row r="109" spans="1:11" x14ac:dyDescent="0.3">
      <c r="A109" s="2">
        <v>44669</v>
      </c>
      <c r="B109" s="3" t="s">
        <v>7</v>
      </c>
      <c r="C109" s="3" t="s">
        <v>22</v>
      </c>
      <c r="D109" s="3" t="s">
        <v>18</v>
      </c>
      <c r="E109" s="3" t="s">
        <v>21</v>
      </c>
      <c r="F109" s="3" t="s">
        <v>29</v>
      </c>
      <c r="G109" s="3">
        <v>4777.41</v>
      </c>
      <c r="H109" s="3">
        <v>4843.59</v>
      </c>
      <c r="I109" s="3" t="s">
        <v>34</v>
      </c>
      <c r="J109" s="3">
        <v>4</v>
      </c>
      <c r="K109" s="5">
        <f>actual_vs_target_sales_dataset[[#This Row],[Sales_ Amount]]/actual_vs_target_sales_dataset[[#This Row],[Sales_Target]]</f>
        <v>0.98633658092447951</v>
      </c>
    </row>
    <row r="110" spans="1:11" x14ac:dyDescent="0.3">
      <c r="A110" s="2">
        <v>44670</v>
      </c>
      <c r="B110" s="3" t="s">
        <v>23</v>
      </c>
      <c r="C110" s="3" t="s">
        <v>22</v>
      </c>
      <c r="D110" s="3" t="s">
        <v>24</v>
      </c>
      <c r="E110" s="3" t="s">
        <v>10</v>
      </c>
      <c r="F110" s="3" t="s">
        <v>11</v>
      </c>
      <c r="G110" s="3">
        <v>8507.5400000000009</v>
      </c>
      <c r="H110" s="3">
        <v>9144.5300000000007</v>
      </c>
      <c r="I110" s="3" t="s">
        <v>34</v>
      </c>
      <c r="J110" s="3">
        <v>4</v>
      </c>
      <c r="K110" s="5">
        <f>actual_vs_target_sales_dataset[[#This Row],[Sales_ Amount]]/actual_vs_target_sales_dataset[[#This Row],[Sales_Target]]</f>
        <v>0.93034196399377556</v>
      </c>
    </row>
    <row r="111" spans="1:11" x14ac:dyDescent="0.3">
      <c r="A111" s="2">
        <v>44671</v>
      </c>
      <c r="B111" s="3" t="s">
        <v>13</v>
      </c>
      <c r="C111" s="3" t="s">
        <v>25</v>
      </c>
      <c r="D111" s="3" t="s">
        <v>24</v>
      </c>
      <c r="E111" s="3" t="s">
        <v>19</v>
      </c>
      <c r="F111" s="3" t="s">
        <v>30</v>
      </c>
      <c r="G111" s="3">
        <v>-519</v>
      </c>
      <c r="H111" s="3">
        <v>-547.45000000000005</v>
      </c>
      <c r="I111" s="3" t="s">
        <v>34</v>
      </c>
      <c r="J111" s="3">
        <v>4</v>
      </c>
      <c r="K111" s="5">
        <f>actual_vs_target_sales_dataset[[#This Row],[Sales_ Amount]]/actual_vs_target_sales_dataset[[#This Row],[Sales_Target]]</f>
        <v>0.948031783724541</v>
      </c>
    </row>
    <row r="112" spans="1:11" x14ac:dyDescent="0.3">
      <c r="A112" s="2">
        <v>44672</v>
      </c>
      <c r="B112" s="3" t="s">
        <v>7</v>
      </c>
      <c r="C112" s="3" t="s">
        <v>8</v>
      </c>
      <c r="D112" s="3" t="s">
        <v>9</v>
      </c>
      <c r="E112" s="3" t="s">
        <v>19</v>
      </c>
      <c r="F112" s="3" t="s">
        <v>29</v>
      </c>
      <c r="G112" s="3">
        <v>9501.51</v>
      </c>
      <c r="H112" s="3">
        <v>8850.2099999999991</v>
      </c>
      <c r="I112" s="3" t="s">
        <v>34</v>
      </c>
      <c r="J112" s="3">
        <v>4</v>
      </c>
      <c r="K112" s="5">
        <f>actual_vs_target_sales_dataset[[#This Row],[Sales_ Amount]]/actual_vs_target_sales_dataset[[#This Row],[Sales_Target]]</f>
        <v>1.0735914741006147</v>
      </c>
    </row>
    <row r="113" spans="1:11" x14ac:dyDescent="0.3">
      <c r="A113" s="2">
        <v>44673</v>
      </c>
      <c r="B113" s="3" t="s">
        <v>7</v>
      </c>
      <c r="C113" s="3" t="s">
        <v>8</v>
      </c>
      <c r="D113" s="3" t="s">
        <v>9</v>
      </c>
      <c r="E113" s="3" t="s">
        <v>10</v>
      </c>
      <c r="F113" s="3" t="s">
        <v>28</v>
      </c>
      <c r="G113" s="3">
        <v>4710.26</v>
      </c>
      <c r="H113" s="3">
        <v>4396.3100000000004</v>
      </c>
      <c r="I113" s="3" t="s">
        <v>34</v>
      </c>
      <c r="J113" s="3">
        <v>4</v>
      </c>
      <c r="K113" s="5">
        <f>actual_vs_target_sales_dataset[[#This Row],[Sales_ Amount]]/actual_vs_target_sales_dataset[[#This Row],[Sales_Target]]</f>
        <v>1.0714121615627652</v>
      </c>
    </row>
    <row r="114" spans="1:11" x14ac:dyDescent="0.3">
      <c r="A114" s="2">
        <v>44674</v>
      </c>
      <c r="B114" s="3" t="s">
        <v>7</v>
      </c>
      <c r="C114" s="3" t="s">
        <v>25</v>
      </c>
      <c r="D114" s="3" t="s">
        <v>18</v>
      </c>
      <c r="E114" s="3" t="s">
        <v>19</v>
      </c>
      <c r="F114" s="3" t="s">
        <v>16</v>
      </c>
      <c r="G114" s="3">
        <v>10665.95</v>
      </c>
      <c r="H114" s="3">
        <v>11178.36</v>
      </c>
      <c r="I114" s="3" t="s">
        <v>34</v>
      </c>
      <c r="J114" s="3">
        <v>4</v>
      </c>
      <c r="K114" s="5">
        <f>actual_vs_target_sales_dataset[[#This Row],[Sales_ Amount]]/actual_vs_target_sales_dataset[[#This Row],[Sales_Target]]</f>
        <v>0.95416053875523776</v>
      </c>
    </row>
    <row r="115" spans="1:11" x14ac:dyDescent="0.3">
      <c r="A115" s="2">
        <v>44675</v>
      </c>
      <c r="B115" s="3" t="s">
        <v>7</v>
      </c>
      <c r="C115" s="3" t="s">
        <v>14</v>
      </c>
      <c r="D115" s="3" t="s">
        <v>18</v>
      </c>
      <c r="E115" s="3" t="s">
        <v>19</v>
      </c>
      <c r="F115" s="3" t="s">
        <v>31</v>
      </c>
      <c r="G115" s="3">
        <v>9718.8700000000008</v>
      </c>
      <c r="H115" s="3">
        <v>9527.1200000000008</v>
      </c>
      <c r="I115" s="3" t="s">
        <v>34</v>
      </c>
      <c r="J115" s="3">
        <v>4</v>
      </c>
      <c r="K115" s="5">
        <f>actual_vs_target_sales_dataset[[#This Row],[Sales_ Amount]]/actual_vs_target_sales_dataset[[#This Row],[Sales_Target]]</f>
        <v>1.0201267539403303</v>
      </c>
    </row>
    <row r="116" spans="1:11" x14ac:dyDescent="0.3">
      <c r="A116" s="2">
        <v>44676</v>
      </c>
      <c r="B116" s="3" t="s">
        <v>23</v>
      </c>
      <c r="C116" s="3" t="s">
        <v>14</v>
      </c>
      <c r="D116" s="3" t="s">
        <v>15</v>
      </c>
      <c r="E116" s="3" t="s">
        <v>19</v>
      </c>
      <c r="F116" s="3" t="s">
        <v>27</v>
      </c>
      <c r="G116" s="3">
        <v>-1035.2</v>
      </c>
      <c r="H116" s="3">
        <v>-1057.07</v>
      </c>
      <c r="I116" s="3" t="s">
        <v>34</v>
      </c>
      <c r="J116" s="3">
        <v>4</v>
      </c>
      <c r="K116" s="5">
        <f>actual_vs_target_sales_dataset[[#This Row],[Sales_ Amount]]/actual_vs_target_sales_dataset[[#This Row],[Sales_Target]]</f>
        <v>0.97931073628047349</v>
      </c>
    </row>
    <row r="117" spans="1:11" x14ac:dyDescent="0.3">
      <c r="A117" s="2">
        <v>44677</v>
      </c>
      <c r="B117" s="3" t="s">
        <v>17</v>
      </c>
      <c r="C117" s="3" t="s">
        <v>8</v>
      </c>
      <c r="D117" s="3" t="s">
        <v>24</v>
      </c>
      <c r="E117" s="3" t="s">
        <v>10</v>
      </c>
      <c r="F117" s="3" t="s">
        <v>16</v>
      </c>
      <c r="G117" s="3">
        <v>7639.89</v>
      </c>
      <c r="H117" s="3">
        <v>7534.96</v>
      </c>
      <c r="I117" s="3" t="s">
        <v>34</v>
      </c>
      <c r="J117" s="3">
        <v>4</v>
      </c>
      <c r="K117" s="5">
        <f>actual_vs_target_sales_dataset[[#This Row],[Sales_ Amount]]/actual_vs_target_sales_dataset[[#This Row],[Sales_Target]]</f>
        <v>1.0139257540849587</v>
      </c>
    </row>
    <row r="118" spans="1:11" x14ac:dyDescent="0.3">
      <c r="A118" s="2">
        <v>44678</v>
      </c>
      <c r="B118" s="3" t="s">
        <v>20</v>
      </c>
      <c r="C118" s="3" t="s">
        <v>22</v>
      </c>
      <c r="D118" s="3" t="s">
        <v>15</v>
      </c>
      <c r="E118" s="3" t="s">
        <v>10</v>
      </c>
      <c r="F118" s="3" t="s">
        <v>26</v>
      </c>
      <c r="G118" s="3">
        <v>-1200.1600000000001</v>
      </c>
      <c r="H118" s="3">
        <v>-1307.49</v>
      </c>
      <c r="I118" s="3" t="s">
        <v>34</v>
      </c>
      <c r="J118" s="3">
        <v>4</v>
      </c>
      <c r="K118" s="5">
        <f>actual_vs_target_sales_dataset[[#This Row],[Sales_ Amount]]/actual_vs_target_sales_dataset[[#This Row],[Sales_Target]]</f>
        <v>0.91791141806055887</v>
      </c>
    </row>
    <row r="119" spans="1:11" x14ac:dyDescent="0.3">
      <c r="A119" s="2">
        <v>44679</v>
      </c>
      <c r="B119" s="3" t="s">
        <v>7</v>
      </c>
      <c r="C119" s="3" t="s">
        <v>14</v>
      </c>
      <c r="D119" s="3" t="s">
        <v>18</v>
      </c>
      <c r="E119" s="3" t="s">
        <v>21</v>
      </c>
      <c r="F119" s="3" t="s">
        <v>16</v>
      </c>
      <c r="G119" s="3">
        <v>5506.97</v>
      </c>
      <c r="H119" s="3">
        <v>5617.36</v>
      </c>
      <c r="I119" s="3" t="s">
        <v>34</v>
      </c>
      <c r="J119" s="3">
        <v>4</v>
      </c>
      <c r="K119" s="5">
        <f>actual_vs_target_sales_dataset[[#This Row],[Sales_ Amount]]/actual_vs_target_sales_dataset[[#This Row],[Sales_Target]]</f>
        <v>0.98034841989831534</v>
      </c>
    </row>
    <row r="120" spans="1:11" x14ac:dyDescent="0.3">
      <c r="A120" s="2">
        <v>44680</v>
      </c>
      <c r="B120" s="3" t="s">
        <v>20</v>
      </c>
      <c r="C120" s="3" t="s">
        <v>22</v>
      </c>
      <c r="D120" s="3" t="s">
        <v>9</v>
      </c>
      <c r="E120" s="3" t="s">
        <v>19</v>
      </c>
      <c r="F120" s="3" t="s">
        <v>16</v>
      </c>
      <c r="G120" s="3">
        <v>11249.05</v>
      </c>
      <c r="H120" s="3">
        <v>12910.95</v>
      </c>
      <c r="I120" s="3" t="s">
        <v>34</v>
      </c>
      <c r="J120" s="3">
        <v>4</v>
      </c>
      <c r="K120" s="5">
        <f>actual_vs_target_sales_dataset[[#This Row],[Sales_ Amount]]/actual_vs_target_sales_dataset[[#This Row],[Sales_Target]]</f>
        <v>0.87127980512665593</v>
      </c>
    </row>
    <row r="121" spans="1:11" x14ac:dyDescent="0.3">
      <c r="A121" s="2">
        <v>44681</v>
      </c>
      <c r="B121" s="3" t="s">
        <v>17</v>
      </c>
      <c r="C121" s="3" t="s">
        <v>8</v>
      </c>
      <c r="D121" s="3" t="s">
        <v>9</v>
      </c>
      <c r="E121" s="3" t="s">
        <v>10</v>
      </c>
      <c r="F121" s="3" t="s">
        <v>29</v>
      </c>
      <c r="G121" s="3">
        <v>7127.54</v>
      </c>
      <c r="H121" s="3">
        <v>7008.48</v>
      </c>
      <c r="I121" s="3" t="s">
        <v>34</v>
      </c>
      <c r="J121" s="3">
        <v>4</v>
      </c>
      <c r="K121" s="5">
        <f>actual_vs_target_sales_dataset[[#This Row],[Sales_ Amount]]/actual_vs_target_sales_dataset[[#This Row],[Sales_Target]]</f>
        <v>1.016987991690067</v>
      </c>
    </row>
    <row r="122" spans="1:11" x14ac:dyDescent="0.3">
      <c r="A122" s="2">
        <v>44682</v>
      </c>
      <c r="B122" s="3" t="s">
        <v>13</v>
      </c>
      <c r="C122" s="3" t="s">
        <v>14</v>
      </c>
      <c r="D122" s="3" t="s">
        <v>15</v>
      </c>
      <c r="E122" s="3" t="s">
        <v>10</v>
      </c>
      <c r="F122" s="3" t="s">
        <v>30</v>
      </c>
      <c r="G122" s="3">
        <v>2095.0700000000002</v>
      </c>
      <c r="H122" s="3">
        <v>2163.33</v>
      </c>
      <c r="I122" s="3" t="s">
        <v>35</v>
      </c>
      <c r="J122" s="3">
        <v>5</v>
      </c>
      <c r="K122" s="5">
        <f>actual_vs_target_sales_dataset[[#This Row],[Sales_ Amount]]/actual_vs_target_sales_dataset[[#This Row],[Sales_Target]]</f>
        <v>0.96844679267610589</v>
      </c>
    </row>
    <row r="123" spans="1:11" x14ac:dyDescent="0.3">
      <c r="A123" s="2">
        <v>44683</v>
      </c>
      <c r="B123" s="3" t="s">
        <v>23</v>
      </c>
      <c r="C123" s="3" t="s">
        <v>25</v>
      </c>
      <c r="D123" s="3" t="s">
        <v>9</v>
      </c>
      <c r="E123" s="3" t="s">
        <v>19</v>
      </c>
      <c r="F123" s="3" t="s">
        <v>11</v>
      </c>
      <c r="G123" s="3">
        <v>16741.91</v>
      </c>
      <c r="H123" s="3">
        <v>17197.080000000002</v>
      </c>
      <c r="I123" s="3" t="s">
        <v>35</v>
      </c>
      <c r="J123" s="3">
        <v>5</v>
      </c>
      <c r="K123" s="5">
        <f>actual_vs_target_sales_dataset[[#This Row],[Sales_ Amount]]/actual_vs_target_sales_dataset[[#This Row],[Sales_Target]]</f>
        <v>0.97353213452516352</v>
      </c>
    </row>
    <row r="124" spans="1:11" x14ac:dyDescent="0.3">
      <c r="A124" s="2">
        <v>44684</v>
      </c>
      <c r="B124" s="3" t="s">
        <v>23</v>
      </c>
      <c r="C124" s="3" t="s">
        <v>25</v>
      </c>
      <c r="D124" s="3" t="s">
        <v>18</v>
      </c>
      <c r="E124" s="3" t="s">
        <v>19</v>
      </c>
      <c r="F124" s="3" t="s">
        <v>26</v>
      </c>
      <c r="G124" s="3">
        <v>35.36</v>
      </c>
      <c r="H124" s="3">
        <v>31.33</v>
      </c>
      <c r="I124" s="3" t="s">
        <v>35</v>
      </c>
      <c r="J124" s="3">
        <v>5</v>
      </c>
      <c r="K124" s="5">
        <f>actual_vs_target_sales_dataset[[#This Row],[Sales_ Amount]]/actual_vs_target_sales_dataset[[#This Row],[Sales_Target]]</f>
        <v>1.1286307053941909</v>
      </c>
    </row>
    <row r="125" spans="1:11" x14ac:dyDescent="0.3">
      <c r="A125" s="2">
        <v>44685</v>
      </c>
      <c r="B125" s="3" t="s">
        <v>7</v>
      </c>
      <c r="C125" s="3" t="s">
        <v>8</v>
      </c>
      <c r="D125" s="3" t="s">
        <v>15</v>
      </c>
      <c r="E125" s="3" t="s">
        <v>10</v>
      </c>
      <c r="F125" s="3" t="s">
        <v>30</v>
      </c>
      <c r="G125" s="3">
        <v>3653.57</v>
      </c>
      <c r="H125" s="3">
        <v>3183.69</v>
      </c>
      <c r="I125" s="3" t="s">
        <v>35</v>
      </c>
      <c r="J125" s="3">
        <v>5</v>
      </c>
      <c r="K125" s="5">
        <f>actual_vs_target_sales_dataset[[#This Row],[Sales_ Amount]]/actual_vs_target_sales_dataset[[#This Row],[Sales_Target]]</f>
        <v>1.1475897464891369</v>
      </c>
    </row>
    <row r="126" spans="1:11" x14ac:dyDescent="0.3">
      <c r="A126" s="2">
        <v>44686</v>
      </c>
      <c r="B126" s="3" t="s">
        <v>7</v>
      </c>
      <c r="C126" s="3" t="s">
        <v>25</v>
      </c>
      <c r="D126" s="3" t="s">
        <v>15</v>
      </c>
      <c r="E126" s="3" t="s">
        <v>19</v>
      </c>
      <c r="F126" s="3" t="s">
        <v>30</v>
      </c>
      <c r="G126" s="3">
        <v>7075.3</v>
      </c>
      <c r="H126" s="3">
        <v>6737.4</v>
      </c>
      <c r="I126" s="3" t="s">
        <v>35</v>
      </c>
      <c r="J126" s="3">
        <v>5</v>
      </c>
      <c r="K126" s="5">
        <f>actual_vs_target_sales_dataset[[#This Row],[Sales_ Amount]]/actual_vs_target_sales_dataset[[#This Row],[Sales_Target]]</f>
        <v>1.0501528779647937</v>
      </c>
    </row>
    <row r="127" spans="1:11" x14ac:dyDescent="0.3">
      <c r="A127" s="2">
        <v>44687</v>
      </c>
      <c r="B127" s="3" t="s">
        <v>17</v>
      </c>
      <c r="C127" s="3" t="s">
        <v>25</v>
      </c>
      <c r="D127" s="3" t="s">
        <v>24</v>
      </c>
      <c r="E127" s="3" t="s">
        <v>21</v>
      </c>
      <c r="F127" s="3" t="s">
        <v>28</v>
      </c>
      <c r="G127" s="3">
        <v>1566.39</v>
      </c>
      <c r="H127" s="3">
        <v>1411.74</v>
      </c>
      <c r="I127" s="3" t="s">
        <v>35</v>
      </c>
      <c r="J127" s="3">
        <v>5</v>
      </c>
      <c r="K127" s="5">
        <f>actual_vs_target_sales_dataset[[#This Row],[Sales_ Amount]]/actual_vs_target_sales_dataset[[#This Row],[Sales_Target]]</f>
        <v>1.1095456670491735</v>
      </c>
    </row>
    <row r="128" spans="1:11" x14ac:dyDescent="0.3">
      <c r="A128" s="2">
        <v>44688</v>
      </c>
      <c r="B128" s="3" t="s">
        <v>7</v>
      </c>
      <c r="C128" s="3" t="s">
        <v>14</v>
      </c>
      <c r="D128" s="3" t="s">
        <v>18</v>
      </c>
      <c r="E128" s="3" t="s">
        <v>10</v>
      </c>
      <c r="F128" s="3" t="s">
        <v>30</v>
      </c>
      <c r="G128" s="3">
        <v>14930.39</v>
      </c>
      <c r="H128" s="3">
        <v>15154.34</v>
      </c>
      <c r="I128" s="3" t="s">
        <v>35</v>
      </c>
      <c r="J128" s="3">
        <v>5</v>
      </c>
      <c r="K128" s="5">
        <f>actual_vs_target_sales_dataset[[#This Row],[Sales_ Amount]]/actual_vs_target_sales_dataset[[#This Row],[Sales_Target]]</f>
        <v>0.98522205520002848</v>
      </c>
    </row>
    <row r="129" spans="1:11" x14ac:dyDescent="0.3">
      <c r="A129" s="2">
        <v>44689</v>
      </c>
      <c r="B129" s="3" t="s">
        <v>13</v>
      </c>
      <c r="C129" s="3" t="s">
        <v>8</v>
      </c>
      <c r="D129" s="3" t="s">
        <v>18</v>
      </c>
      <c r="E129" s="3" t="s">
        <v>19</v>
      </c>
      <c r="F129" s="3" t="s">
        <v>31</v>
      </c>
      <c r="G129" s="3">
        <v>2618.9699999999998</v>
      </c>
      <c r="H129" s="3">
        <v>2767.12</v>
      </c>
      <c r="I129" s="3" t="s">
        <v>35</v>
      </c>
      <c r="J129" s="3">
        <v>5</v>
      </c>
      <c r="K129" s="5">
        <f>actual_vs_target_sales_dataset[[#This Row],[Sales_ Amount]]/actual_vs_target_sales_dataset[[#This Row],[Sales_Target]]</f>
        <v>0.94646057995316424</v>
      </c>
    </row>
    <row r="130" spans="1:11" x14ac:dyDescent="0.3">
      <c r="A130" s="2">
        <v>44690</v>
      </c>
      <c r="B130" s="3" t="s">
        <v>13</v>
      </c>
      <c r="C130" s="3" t="s">
        <v>8</v>
      </c>
      <c r="D130" s="3" t="s">
        <v>15</v>
      </c>
      <c r="E130" s="3" t="s">
        <v>21</v>
      </c>
      <c r="F130" s="3" t="s">
        <v>29</v>
      </c>
      <c r="G130" s="3">
        <v>4372.83</v>
      </c>
      <c r="H130" s="3">
        <v>4547.1899999999996</v>
      </c>
      <c r="I130" s="3" t="s">
        <v>35</v>
      </c>
      <c r="J130" s="3">
        <v>5</v>
      </c>
      <c r="K130" s="5">
        <f>actual_vs_target_sales_dataset[[#This Row],[Sales_ Amount]]/actual_vs_target_sales_dataset[[#This Row],[Sales_Target]]</f>
        <v>0.96165543995302605</v>
      </c>
    </row>
    <row r="131" spans="1:11" x14ac:dyDescent="0.3">
      <c r="A131" s="2">
        <v>44691</v>
      </c>
      <c r="B131" s="3" t="s">
        <v>20</v>
      </c>
      <c r="C131" s="3" t="s">
        <v>8</v>
      </c>
      <c r="D131" s="3" t="s">
        <v>24</v>
      </c>
      <c r="E131" s="3" t="s">
        <v>19</v>
      </c>
      <c r="F131" s="3" t="s">
        <v>27</v>
      </c>
      <c r="G131" s="3">
        <v>11656.49</v>
      </c>
      <c r="H131" s="3">
        <v>11882.58</v>
      </c>
      <c r="I131" s="3" t="s">
        <v>35</v>
      </c>
      <c r="J131" s="3">
        <v>5</v>
      </c>
      <c r="K131" s="5">
        <f>actual_vs_target_sales_dataset[[#This Row],[Sales_ Amount]]/actual_vs_target_sales_dataset[[#This Row],[Sales_Target]]</f>
        <v>0.98097298734786553</v>
      </c>
    </row>
    <row r="132" spans="1:11" x14ac:dyDescent="0.3">
      <c r="A132" s="2">
        <v>44692</v>
      </c>
      <c r="B132" s="3" t="s">
        <v>13</v>
      </c>
      <c r="C132" s="3" t="s">
        <v>14</v>
      </c>
      <c r="D132" s="3" t="s">
        <v>9</v>
      </c>
      <c r="E132" s="3" t="s">
        <v>21</v>
      </c>
      <c r="F132" s="3" t="s">
        <v>30</v>
      </c>
      <c r="G132" s="3">
        <v>17821.18</v>
      </c>
      <c r="H132" s="3">
        <v>20232.189999999999</v>
      </c>
      <c r="I132" s="3" t="s">
        <v>35</v>
      </c>
      <c r="J132" s="3">
        <v>5</v>
      </c>
      <c r="K132" s="5">
        <f>actual_vs_target_sales_dataset[[#This Row],[Sales_ Amount]]/actual_vs_target_sales_dataset[[#This Row],[Sales_Target]]</f>
        <v>0.88083296963897639</v>
      </c>
    </row>
    <row r="133" spans="1:11" x14ac:dyDescent="0.3">
      <c r="A133" s="2">
        <v>44693</v>
      </c>
      <c r="B133" s="3" t="s">
        <v>17</v>
      </c>
      <c r="C133" s="3" t="s">
        <v>22</v>
      </c>
      <c r="D133" s="3" t="s">
        <v>24</v>
      </c>
      <c r="E133" s="3" t="s">
        <v>21</v>
      </c>
      <c r="F133" s="3" t="s">
        <v>11</v>
      </c>
      <c r="G133" s="3">
        <v>15627.31</v>
      </c>
      <c r="H133" s="3">
        <v>13667.5</v>
      </c>
      <c r="I133" s="3" t="s">
        <v>35</v>
      </c>
      <c r="J133" s="3">
        <v>5</v>
      </c>
      <c r="K133" s="5">
        <f>actual_vs_target_sales_dataset[[#This Row],[Sales_ Amount]]/actual_vs_target_sales_dataset[[#This Row],[Sales_Target]]</f>
        <v>1.1433919882933967</v>
      </c>
    </row>
    <row r="134" spans="1:11" x14ac:dyDescent="0.3">
      <c r="A134" s="2">
        <v>44694</v>
      </c>
      <c r="B134" s="3" t="s">
        <v>20</v>
      </c>
      <c r="C134" s="3" t="s">
        <v>8</v>
      </c>
      <c r="D134" s="3" t="s">
        <v>9</v>
      </c>
      <c r="E134" s="3" t="s">
        <v>10</v>
      </c>
      <c r="F134" s="3" t="s">
        <v>31</v>
      </c>
      <c r="G134" s="3">
        <v>4441.72</v>
      </c>
      <c r="H134" s="3">
        <v>4391.32</v>
      </c>
      <c r="I134" s="3" t="s">
        <v>35</v>
      </c>
      <c r="J134" s="3">
        <v>5</v>
      </c>
      <c r="K134" s="5">
        <f>actual_vs_target_sales_dataset[[#This Row],[Sales_ Amount]]/actual_vs_target_sales_dataset[[#This Row],[Sales_Target]]</f>
        <v>1.0114771868139878</v>
      </c>
    </row>
    <row r="135" spans="1:11" x14ac:dyDescent="0.3">
      <c r="A135" s="2">
        <v>44695</v>
      </c>
      <c r="B135" s="3" t="s">
        <v>20</v>
      </c>
      <c r="C135" s="3" t="s">
        <v>8</v>
      </c>
      <c r="D135" s="3" t="s">
        <v>9</v>
      </c>
      <c r="E135" s="3" t="s">
        <v>19</v>
      </c>
      <c r="F135" s="3" t="s">
        <v>27</v>
      </c>
      <c r="G135" s="3">
        <v>11596.22</v>
      </c>
      <c r="H135" s="3">
        <v>12983.19</v>
      </c>
      <c r="I135" s="3" t="s">
        <v>35</v>
      </c>
      <c r="J135" s="3">
        <v>5</v>
      </c>
      <c r="K135" s="5">
        <f>actual_vs_target_sales_dataset[[#This Row],[Sales_ Amount]]/actual_vs_target_sales_dataset[[#This Row],[Sales_Target]]</f>
        <v>0.89317186300131157</v>
      </c>
    </row>
    <row r="136" spans="1:11" x14ac:dyDescent="0.3">
      <c r="A136" s="2">
        <v>44696</v>
      </c>
      <c r="B136" s="3" t="s">
        <v>13</v>
      </c>
      <c r="C136" s="3" t="s">
        <v>22</v>
      </c>
      <c r="D136" s="3" t="s">
        <v>18</v>
      </c>
      <c r="E136" s="3" t="s">
        <v>19</v>
      </c>
      <c r="F136" s="3" t="s">
        <v>28</v>
      </c>
      <c r="G136" s="3">
        <v>14687.83</v>
      </c>
      <c r="H136" s="3">
        <v>12860.04</v>
      </c>
      <c r="I136" s="3" t="s">
        <v>35</v>
      </c>
      <c r="J136" s="3">
        <v>5</v>
      </c>
      <c r="K136" s="5">
        <f>actual_vs_target_sales_dataset[[#This Row],[Sales_ Amount]]/actual_vs_target_sales_dataset[[#This Row],[Sales_Target]]</f>
        <v>1.1421294179489332</v>
      </c>
    </row>
    <row r="137" spans="1:11" x14ac:dyDescent="0.3">
      <c r="A137" s="2">
        <v>44697</v>
      </c>
      <c r="B137" s="3" t="s">
        <v>7</v>
      </c>
      <c r="C137" s="3" t="s">
        <v>14</v>
      </c>
      <c r="D137" s="3" t="s">
        <v>18</v>
      </c>
      <c r="E137" s="3" t="s">
        <v>19</v>
      </c>
      <c r="F137" s="3" t="s">
        <v>26</v>
      </c>
      <c r="G137" s="3">
        <v>13910.23</v>
      </c>
      <c r="H137" s="3">
        <v>14507.7</v>
      </c>
      <c r="I137" s="3" t="s">
        <v>35</v>
      </c>
      <c r="J137" s="3">
        <v>5</v>
      </c>
      <c r="K137" s="5">
        <f>actual_vs_target_sales_dataset[[#This Row],[Sales_ Amount]]/actual_vs_target_sales_dataset[[#This Row],[Sales_Target]]</f>
        <v>0.95881704198460116</v>
      </c>
    </row>
    <row r="138" spans="1:11" x14ac:dyDescent="0.3">
      <c r="A138" s="2">
        <v>44698</v>
      </c>
      <c r="B138" s="3" t="s">
        <v>13</v>
      </c>
      <c r="C138" s="3" t="s">
        <v>14</v>
      </c>
      <c r="D138" s="3" t="s">
        <v>15</v>
      </c>
      <c r="E138" s="3" t="s">
        <v>21</v>
      </c>
      <c r="F138" s="3" t="s">
        <v>26</v>
      </c>
      <c r="G138" s="3">
        <v>1292.56</v>
      </c>
      <c r="H138" s="3">
        <v>1288.1400000000001</v>
      </c>
      <c r="I138" s="3" t="s">
        <v>35</v>
      </c>
      <c r="J138" s="3">
        <v>5</v>
      </c>
      <c r="K138" s="5">
        <f>actual_vs_target_sales_dataset[[#This Row],[Sales_ Amount]]/actual_vs_target_sales_dataset[[#This Row],[Sales_Target]]</f>
        <v>1.0034313040508018</v>
      </c>
    </row>
    <row r="139" spans="1:11" x14ac:dyDescent="0.3">
      <c r="A139" s="2">
        <v>44699</v>
      </c>
      <c r="B139" s="3" t="s">
        <v>17</v>
      </c>
      <c r="C139" s="3" t="s">
        <v>22</v>
      </c>
      <c r="D139" s="3" t="s">
        <v>9</v>
      </c>
      <c r="E139" s="3" t="s">
        <v>19</v>
      </c>
      <c r="F139" s="3" t="s">
        <v>11</v>
      </c>
      <c r="G139" s="3">
        <v>-9009.44</v>
      </c>
      <c r="H139" s="3">
        <v>-9144.1</v>
      </c>
      <c r="I139" s="3" t="s">
        <v>35</v>
      </c>
      <c r="J139" s="3">
        <v>5</v>
      </c>
      <c r="K139" s="5">
        <f>actual_vs_target_sales_dataset[[#This Row],[Sales_ Amount]]/actual_vs_target_sales_dataset[[#This Row],[Sales_Target]]</f>
        <v>0.98527356437484281</v>
      </c>
    </row>
    <row r="140" spans="1:11" x14ac:dyDescent="0.3">
      <c r="A140" s="2">
        <v>44700</v>
      </c>
      <c r="B140" s="3" t="s">
        <v>23</v>
      </c>
      <c r="C140" s="3" t="s">
        <v>14</v>
      </c>
      <c r="D140" s="3" t="s">
        <v>9</v>
      </c>
      <c r="E140" s="3" t="s">
        <v>19</v>
      </c>
      <c r="F140" s="3" t="s">
        <v>29</v>
      </c>
      <c r="G140" s="3">
        <v>-2319.1799999999998</v>
      </c>
      <c r="H140" s="3">
        <v>-2102.17</v>
      </c>
      <c r="I140" s="3" t="s">
        <v>35</v>
      </c>
      <c r="J140" s="3">
        <v>5</v>
      </c>
      <c r="K140" s="5">
        <f>actual_vs_target_sales_dataset[[#This Row],[Sales_ Amount]]/actual_vs_target_sales_dataset[[#This Row],[Sales_Target]]</f>
        <v>1.1032314227679016</v>
      </c>
    </row>
    <row r="141" spans="1:11" x14ac:dyDescent="0.3">
      <c r="A141" s="2">
        <v>44701</v>
      </c>
      <c r="B141" s="3" t="s">
        <v>23</v>
      </c>
      <c r="C141" s="3" t="s">
        <v>25</v>
      </c>
      <c r="D141" s="3" t="s">
        <v>18</v>
      </c>
      <c r="E141" s="3" t="s">
        <v>19</v>
      </c>
      <c r="F141" s="3" t="s">
        <v>16</v>
      </c>
      <c r="G141" s="3">
        <v>7333.45</v>
      </c>
      <c r="H141" s="3">
        <v>7833.47</v>
      </c>
      <c r="I141" s="3" t="s">
        <v>35</v>
      </c>
      <c r="J141" s="3">
        <v>5</v>
      </c>
      <c r="K141" s="5">
        <f>actual_vs_target_sales_dataset[[#This Row],[Sales_ Amount]]/actual_vs_target_sales_dataset[[#This Row],[Sales_Target]]</f>
        <v>0.93616877322565861</v>
      </c>
    </row>
    <row r="142" spans="1:11" x14ac:dyDescent="0.3">
      <c r="A142" s="2">
        <v>44702</v>
      </c>
      <c r="B142" s="3" t="s">
        <v>23</v>
      </c>
      <c r="C142" s="3" t="s">
        <v>25</v>
      </c>
      <c r="D142" s="3" t="s">
        <v>15</v>
      </c>
      <c r="E142" s="3" t="s">
        <v>21</v>
      </c>
      <c r="F142" s="3" t="s">
        <v>31</v>
      </c>
      <c r="G142" s="3">
        <v>10659.52</v>
      </c>
      <c r="H142" s="3">
        <v>10751.54</v>
      </c>
      <c r="I142" s="3" t="s">
        <v>35</v>
      </c>
      <c r="J142" s="3">
        <v>5</v>
      </c>
      <c r="K142" s="5">
        <f>actual_vs_target_sales_dataset[[#This Row],[Sales_ Amount]]/actual_vs_target_sales_dataset[[#This Row],[Sales_Target]]</f>
        <v>0.99144122609412233</v>
      </c>
    </row>
    <row r="143" spans="1:11" x14ac:dyDescent="0.3">
      <c r="A143" s="2">
        <v>44703</v>
      </c>
      <c r="B143" s="3" t="s">
        <v>13</v>
      </c>
      <c r="C143" s="3" t="s">
        <v>25</v>
      </c>
      <c r="D143" s="3" t="s">
        <v>9</v>
      </c>
      <c r="E143" s="3" t="s">
        <v>10</v>
      </c>
      <c r="F143" s="3" t="s">
        <v>16</v>
      </c>
      <c r="G143" s="3">
        <v>11437.51</v>
      </c>
      <c r="H143" s="3">
        <v>10246.86</v>
      </c>
      <c r="I143" s="3" t="s">
        <v>35</v>
      </c>
      <c r="J143" s="3">
        <v>5</v>
      </c>
      <c r="K143" s="5">
        <f>actual_vs_target_sales_dataset[[#This Row],[Sales_ Amount]]/actual_vs_target_sales_dataset[[#This Row],[Sales_Target]]</f>
        <v>1.116196571437494</v>
      </c>
    </row>
    <row r="144" spans="1:11" x14ac:dyDescent="0.3">
      <c r="A144" s="2">
        <v>44704</v>
      </c>
      <c r="B144" s="3" t="s">
        <v>20</v>
      </c>
      <c r="C144" s="3" t="s">
        <v>8</v>
      </c>
      <c r="D144" s="3" t="s">
        <v>18</v>
      </c>
      <c r="E144" s="3" t="s">
        <v>19</v>
      </c>
      <c r="F144" s="3" t="s">
        <v>29</v>
      </c>
      <c r="G144" s="3">
        <v>11425.25</v>
      </c>
      <c r="H144" s="3">
        <v>11439.82</v>
      </c>
      <c r="I144" s="3" t="s">
        <v>35</v>
      </c>
      <c r="J144" s="3">
        <v>5</v>
      </c>
      <c r="K144" s="5">
        <f>actual_vs_target_sales_dataset[[#This Row],[Sales_ Amount]]/actual_vs_target_sales_dataset[[#This Row],[Sales_Target]]</f>
        <v>0.9987263785619005</v>
      </c>
    </row>
    <row r="145" spans="1:11" x14ac:dyDescent="0.3">
      <c r="A145" s="2">
        <v>44705</v>
      </c>
      <c r="B145" s="3" t="s">
        <v>7</v>
      </c>
      <c r="C145" s="3" t="s">
        <v>8</v>
      </c>
      <c r="D145" s="3" t="s">
        <v>15</v>
      </c>
      <c r="E145" s="3" t="s">
        <v>21</v>
      </c>
      <c r="F145" s="3" t="s">
        <v>11</v>
      </c>
      <c r="G145" s="3">
        <v>12488.21</v>
      </c>
      <c r="H145" s="3">
        <v>12179.67</v>
      </c>
      <c r="I145" s="3" t="s">
        <v>35</v>
      </c>
      <c r="J145" s="3">
        <v>5</v>
      </c>
      <c r="K145" s="5">
        <f>actual_vs_target_sales_dataset[[#This Row],[Sales_ Amount]]/actual_vs_target_sales_dataset[[#This Row],[Sales_Target]]</f>
        <v>1.0253323776424155</v>
      </c>
    </row>
    <row r="146" spans="1:11" x14ac:dyDescent="0.3">
      <c r="A146" s="2">
        <v>44706</v>
      </c>
      <c r="B146" s="3" t="s">
        <v>23</v>
      </c>
      <c r="C146" s="3" t="s">
        <v>25</v>
      </c>
      <c r="D146" s="3" t="s">
        <v>24</v>
      </c>
      <c r="E146" s="3" t="s">
        <v>19</v>
      </c>
      <c r="F146" s="3" t="s">
        <v>29</v>
      </c>
      <c r="G146" s="3">
        <v>-639.79999999999995</v>
      </c>
      <c r="H146" s="3">
        <v>-573.17999999999995</v>
      </c>
      <c r="I146" s="3" t="s">
        <v>35</v>
      </c>
      <c r="J146" s="3">
        <v>5</v>
      </c>
      <c r="K146" s="5">
        <f>actual_vs_target_sales_dataset[[#This Row],[Sales_ Amount]]/actual_vs_target_sales_dataset[[#This Row],[Sales_Target]]</f>
        <v>1.1162287588541122</v>
      </c>
    </row>
    <row r="147" spans="1:11" x14ac:dyDescent="0.3">
      <c r="A147" s="2">
        <v>44707</v>
      </c>
      <c r="B147" s="3" t="s">
        <v>23</v>
      </c>
      <c r="C147" s="3" t="s">
        <v>22</v>
      </c>
      <c r="D147" s="3" t="s">
        <v>18</v>
      </c>
      <c r="E147" s="3" t="s">
        <v>10</v>
      </c>
      <c r="F147" s="3" t="s">
        <v>30</v>
      </c>
      <c r="G147" s="3">
        <v>13241.55</v>
      </c>
      <c r="H147" s="3">
        <v>13759.8</v>
      </c>
      <c r="I147" s="3" t="s">
        <v>35</v>
      </c>
      <c r="J147" s="3">
        <v>5</v>
      </c>
      <c r="K147" s="5">
        <f>actual_vs_target_sales_dataset[[#This Row],[Sales_ Amount]]/actual_vs_target_sales_dataset[[#This Row],[Sales_Target]]</f>
        <v>0.96233593511533599</v>
      </c>
    </row>
    <row r="148" spans="1:11" x14ac:dyDescent="0.3">
      <c r="A148" s="2">
        <v>44708</v>
      </c>
      <c r="B148" s="3" t="s">
        <v>23</v>
      </c>
      <c r="C148" s="3" t="s">
        <v>8</v>
      </c>
      <c r="D148" s="3" t="s">
        <v>18</v>
      </c>
      <c r="E148" s="3" t="s">
        <v>21</v>
      </c>
      <c r="F148" s="3" t="s">
        <v>26</v>
      </c>
      <c r="G148" s="3">
        <v>-4004.11</v>
      </c>
      <c r="H148" s="3">
        <v>-3998.06</v>
      </c>
      <c r="I148" s="3" t="s">
        <v>35</v>
      </c>
      <c r="J148" s="3">
        <v>5</v>
      </c>
      <c r="K148" s="5">
        <f>actual_vs_target_sales_dataset[[#This Row],[Sales_ Amount]]/actual_vs_target_sales_dataset[[#This Row],[Sales_Target]]</f>
        <v>1.0015132339184505</v>
      </c>
    </row>
    <row r="149" spans="1:11" x14ac:dyDescent="0.3">
      <c r="A149" s="2">
        <v>44709</v>
      </c>
      <c r="B149" s="3" t="s">
        <v>13</v>
      </c>
      <c r="C149" s="3" t="s">
        <v>8</v>
      </c>
      <c r="D149" s="3" t="s">
        <v>24</v>
      </c>
      <c r="E149" s="3" t="s">
        <v>19</v>
      </c>
      <c r="F149" s="3" t="s">
        <v>29</v>
      </c>
      <c r="G149" s="3">
        <v>-3722.59</v>
      </c>
      <c r="H149" s="3">
        <v>-3968.74</v>
      </c>
      <c r="I149" s="3" t="s">
        <v>35</v>
      </c>
      <c r="J149" s="3">
        <v>5</v>
      </c>
      <c r="K149" s="5">
        <f>actual_vs_target_sales_dataset[[#This Row],[Sales_ Amount]]/actual_vs_target_sales_dataset[[#This Row],[Sales_Target]]</f>
        <v>0.93797779647948731</v>
      </c>
    </row>
    <row r="150" spans="1:11" x14ac:dyDescent="0.3">
      <c r="A150" s="2">
        <v>44710</v>
      </c>
      <c r="B150" s="3" t="s">
        <v>20</v>
      </c>
      <c r="C150" s="3" t="s">
        <v>14</v>
      </c>
      <c r="D150" s="3" t="s">
        <v>18</v>
      </c>
      <c r="E150" s="3" t="s">
        <v>21</v>
      </c>
      <c r="F150" s="3" t="s">
        <v>31</v>
      </c>
      <c r="G150" s="3">
        <v>5463.64</v>
      </c>
      <c r="H150" s="3">
        <v>5257.66</v>
      </c>
      <c r="I150" s="3" t="s">
        <v>35</v>
      </c>
      <c r="J150" s="3">
        <v>5</v>
      </c>
      <c r="K150" s="5">
        <f>actual_vs_target_sales_dataset[[#This Row],[Sales_ Amount]]/actual_vs_target_sales_dataset[[#This Row],[Sales_Target]]</f>
        <v>1.0391771244241736</v>
      </c>
    </row>
    <row r="151" spans="1:11" x14ac:dyDescent="0.3">
      <c r="A151" s="2">
        <v>44711</v>
      </c>
      <c r="B151" s="3" t="s">
        <v>7</v>
      </c>
      <c r="C151" s="3" t="s">
        <v>8</v>
      </c>
      <c r="D151" s="3" t="s">
        <v>9</v>
      </c>
      <c r="E151" s="3" t="s">
        <v>19</v>
      </c>
      <c r="F151" s="3" t="s">
        <v>28</v>
      </c>
      <c r="G151" s="3">
        <v>7044.84</v>
      </c>
      <c r="H151" s="3">
        <v>5704.4</v>
      </c>
      <c r="I151" s="3" t="s">
        <v>35</v>
      </c>
      <c r="J151" s="3">
        <v>5</v>
      </c>
      <c r="K151" s="5">
        <f>actual_vs_target_sales_dataset[[#This Row],[Sales_ Amount]]/actual_vs_target_sales_dataset[[#This Row],[Sales_Target]]</f>
        <v>1.2349835214921816</v>
      </c>
    </row>
    <row r="152" spans="1:11" x14ac:dyDescent="0.3">
      <c r="A152" s="2">
        <v>44712</v>
      </c>
      <c r="B152" s="3" t="s">
        <v>23</v>
      </c>
      <c r="C152" s="3" t="s">
        <v>8</v>
      </c>
      <c r="D152" s="3" t="s">
        <v>18</v>
      </c>
      <c r="E152" s="3" t="s">
        <v>19</v>
      </c>
      <c r="F152" s="3" t="s">
        <v>28</v>
      </c>
      <c r="G152" s="3">
        <v>5376.98</v>
      </c>
      <c r="H152" s="3">
        <v>5196.37</v>
      </c>
      <c r="I152" s="3" t="s">
        <v>35</v>
      </c>
      <c r="J152" s="3">
        <v>5</v>
      </c>
      <c r="K152" s="5">
        <f>actual_vs_target_sales_dataset[[#This Row],[Sales_ Amount]]/actual_vs_target_sales_dataset[[#This Row],[Sales_Target]]</f>
        <v>1.0347569553361289</v>
      </c>
    </row>
    <row r="153" spans="1:11" x14ac:dyDescent="0.3">
      <c r="A153" s="2">
        <v>44713</v>
      </c>
      <c r="B153" s="3" t="s">
        <v>20</v>
      </c>
      <c r="C153" s="3" t="s">
        <v>22</v>
      </c>
      <c r="D153" s="3" t="s">
        <v>24</v>
      </c>
      <c r="E153" s="3" t="s">
        <v>19</v>
      </c>
      <c r="F153" s="3" t="s">
        <v>11</v>
      </c>
      <c r="G153" s="3">
        <v>1197.1500000000001</v>
      </c>
      <c r="H153" s="3">
        <v>1297.9100000000001</v>
      </c>
      <c r="I153" s="3" t="s">
        <v>36</v>
      </c>
      <c r="J153" s="3">
        <v>6</v>
      </c>
      <c r="K153" s="5">
        <f>actual_vs_target_sales_dataset[[#This Row],[Sales_ Amount]]/actual_vs_target_sales_dataset[[#This Row],[Sales_Target]]</f>
        <v>0.9223674985168463</v>
      </c>
    </row>
    <row r="154" spans="1:11" x14ac:dyDescent="0.3">
      <c r="A154" s="2">
        <v>44714</v>
      </c>
      <c r="B154" s="3" t="s">
        <v>13</v>
      </c>
      <c r="C154" s="3" t="s">
        <v>22</v>
      </c>
      <c r="D154" s="3" t="s">
        <v>18</v>
      </c>
      <c r="E154" s="3" t="s">
        <v>21</v>
      </c>
      <c r="F154" s="3" t="s">
        <v>29</v>
      </c>
      <c r="G154" s="3">
        <v>-2227.8000000000002</v>
      </c>
      <c r="H154" s="3">
        <v>-2209.19</v>
      </c>
      <c r="I154" s="3" t="s">
        <v>36</v>
      </c>
      <c r="J154" s="3">
        <v>6</v>
      </c>
      <c r="K154" s="5">
        <f>actual_vs_target_sales_dataset[[#This Row],[Sales_ Amount]]/actual_vs_target_sales_dataset[[#This Row],[Sales_Target]]</f>
        <v>1.0084239019731214</v>
      </c>
    </row>
    <row r="155" spans="1:11" x14ac:dyDescent="0.3">
      <c r="A155" s="2">
        <v>44715</v>
      </c>
      <c r="B155" s="3" t="s">
        <v>23</v>
      </c>
      <c r="C155" s="3" t="s">
        <v>25</v>
      </c>
      <c r="D155" s="3" t="s">
        <v>24</v>
      </c>
      <c r="E155" s="3" t="s">
        <v>21</v>
      </c>
      <c r="F155" s="3" t="s">
        <v>11</v>
      </c>
      <c r="G155" s="3">
        <v>10538.15</v>
      </c>
      <c r="H155" s="3">
        <v>9429.34</v>
      </c>
      <c r="I155" s="3" t="s">
        <v>36</v>
      </c>
      <c r="J155" s="3">
        <v>6</v>
      </c>
      <c r="K155" s="5">
        <f>actual_vs_target_sales_dataset[[#This Row],[Sales_ Amount]]/actual_vs_target_sales_dataset[[#This Row],[Sales_Target]]</f>
        <v>1.1175914751191494</v>
      </c>
    </row>
    <row r="156" spans="1:11" x14ac:dyDescent="0.3">
      <c r="A156" s="2">
        <v>44716</v>
      </c>
      <c r="B156" s="3" t="s">
        <v>13</v>
      </c>
      <c r="C156" s="3" t="s">
        <v>8</v>
      </c>
      <c r="D156" s="3" t="s">
        <v>9</v>
      </c>
      <c r="E156" s="3" t="s">
        <v>21</v>
      </c>
      <c r="F156" s="3" t="s">
        <v>26</v>
      </c>
      <c r="G156" s="3">
        <v>15290.49</v>
      </c>
      <c r="H156" s="3">
        <v>15730.99</v>
      </c>
      <c r="I156" s="3" t="s">
        <v>36</v>
      </c>
      <c r="J156" s="3">
        <v>6</v>
      </c>
      <c r="K156" s="5">
        <f>actual_vs_target_sales_dataset[[#This Row],[Sales_ Amount]]/actual_vs_target_sales_dataset[[#This Row],[Sales_Target]]</f>
        <v>0.97199794799945838</v>
      </c>
    </row>
    <row r="157" spans="1:11" x14ac:dyDescent="0.3">
      <c r="A157" s="2">
        <v>44717</v>
      </c>
      <c r="B157" s="3" t="s">
        <v>23</v>
      </c>
      <c r="C157" s="3" t="s">
        <v>8</v>
      </c>
      <c r="D157" s="3" t="s">
        <v>9</v>
      </c>
      <c r="E157" s="3" t="s">
        <v>21</v>
      </c>
      <c r="F157" s="3" t="s">
        <v>28</v>
      </c>
      <c r="G157" s="3">
        <v>-5069.93</v>
      </c>
      <c r="H157" s="3">
        <v>-5252.59</v>
      </c>
      <c r="I157" s="3" t="s">
        <v>36</v>
      </c>
      <c r="J157" s="3">
        <v>6</v>
      </c>
      <c r="K157" s="5">
        <f>actual_vs_target_sales_dataset[[#This Row],[Sales_ Amount]]/actual_vs_target_sales_dataset[[#This Row],[Sales_Target]]</f>
        <v>0.96522477482537195</v>
      </c>
    </row>
    <row r="158" spans="1:11" x14ac:dyDescent="0.3">
      <c r="A158" s="2">
        <v>44718</v>
      </c>
      <c r="B158" s="3" t="s">
        <v>23</v>
      </c>
      <c r="C158" s="3" t="s">
        <v>14</v>
      </c>
      <c r="D158" s="3" t="s">
        <v>18</v>
      </c>
      <c r="E158" s="3" t="s">
        <v>10</v>
      </c>
      <c r="F158" s="3" t="s">
        <v>31</v>
      </c>
      <c r="G158" s="3">
        <v>-2696.15</v>
      </c>
      <c r="H158" s="3">
        <v>-2539.36</v>
      </c>
      <c r="I158" s="3" t="s">
        <v>36</v>
      </c>
      <c r="J158" s="3">
        <v>6</v>
      </c>
      <c r="K158" s="5">
        <f>actual_vs_target_sales_dataset[[#This Row],[Sales_ Amount]]/actual_vs_target_sales_dataset[[#This Row],[Sales_Target]]</f>
        <v>1.061743903975805</v>
      </c>
    </row>
    <row r="159" spans="1:11" x14ac:dyDescent="0.3">
      <c r="A159" s="2">
        <v>44719</v>
      </c>
      <c r="B159" s="3" t="s">
        <v>13</v>
      </c>
      <c r="C159" s="3" t="s">
        <v>8</v>
      </c>
      <c r="D159" s="3" t="s">
        <v>18</v>
      </c>
      <c r="E159" s="3" t="s">
        <v>21</v>
      </c>
      <c r="F159" s="3" t="s">
        <v>31</v>
      </c>
      <c r="G159" s="3">
        <v>11595.6</v>
      </c>
      <c r="H159" s="3">
        <v>10986.05</v>
      </c>
      <c r="I159" s="3" t="s">
        <v>36</v>
      </c>
      <c r="J159" s="3">
        <v>6</v>
      </c>
      <c r="K159" s="5">
        <f>actual_vs_target_sales_dataset[[#This Row],[Sales_ Amount]]/actual_vs_target_sales_dataset[[#This Row],[Sales_Target]]</f>
        <v>1.0554840001638444</v>
      </c>
    </row>
    <row r="160" spans="1:11" x14ac:dyDescent="0.3">
      <c r="A160" s="2">
        <v>44720</v>
      </c>
      <c r="B160" s="3" t="s">
        <v>7</v>
      </c>
      <c r="C160" s="3" t="s">
        <v>14</v>
      </c>
      <c r="D160" s="3" t="s">
        <v>9</v>
      </c>
      <c r="E160" s="3" t="s">
        <v>10</v>
      </c>
      <c r="F160" s="3" t="s">
        <v>26</v>
      </c>
      <c r="G160" s="3">
        <v>5175.74</v>
      </c>
      <c r="H160" s="3">
        <v>4953.4399999999996</v>
      </c>
      <c r="I160" s="3" t="s">
        <v>36</v>
      </c>
      <c r="J160" s="3">
        <v>6</v>
      </c>
      <c r="K160" s="5">
        <f>actual_vs_target_sales_dataset[[#This Row],[Sales_ Amount]]/actual_vs_target_sales_dataset[[#This Row],[Sales_Target]]</f>
        <v>1.0448779030330437</v>
      </c>
    </row>
    <row r="161" spans="1:11" x14ac:dyDescent="0.3">
      <c r="A161" s="2">
        <v>44721</v>
      </c>
      <c r="B161" s="3" t="s">
        <v>23</v>
      </c>
      <c r="C161" s="3" t="s">
        <v>8</v>
      </c>
      <c r="D161" s="3" t="s">
        <v>18</v>
      </c>
      <c r="E161" s="3" t="s">
        <v>19</v>
      </c>
      <c r="F161" s="3" t="s">
        <v>26</v>
      </c>
      <c r="G161" s="3">
        <v>9900.74</v>
      </c>
      <c r="H161" s="3">
        <v>10237.09</v>
      </c>
      <c r="I161" s="3" t="s">
        <v>36</v>
      </c>
      <c r="J161" s="3">
        <v>6</v>
      </c>
      <c r="K161" s="5">
        <f>actual_vs_target_sales_dataset[[#This Row],[Sales_ Amount]]/actual_vs_target_sales_dataset[[#This Row],[Sales_Target]]</f>
        <v>0.96714398329994167</v>
      </c>
    </row>
    <row r="162" spans="1:11" x14ac:dyDescent="0.3">
      <c r="A162" s="2">
        <v>44722</v>
      </c>
      <c r="B162" s="3" t="s">
        <v>23</v>
      </c>
      <c r="C162" s="3" t="s">
        <v>25</v>
      </c>
      <c r="D162" s="3" t="s">
        <v>18</v>
      </c>
      <c r="E162" s="3" t="s">
        <v>10</v>
      </c>
      <c r="F162" s="3" t="s">
        <v>11</v>
      </c>
      <c r="G162" s="3">
        <v>4452.8</v>
      </c>
      <c r="H162" s="3">
        <v>4257.54</v>
      </c>
      <c r="I162" s="3" t="s">
        <v>36</v>
      </c>
      <c r="J162" s="3">
        <v>6</v>
      </c>
      <c r="K162" s="5">
        <f>actual_vs_target_sales_dataset[[#This Row],[Sales_ Amount]]/actual_vs_target_sales_dataset[[#This Row],[Sales_Target]]</f>
        <v>1.0458621645363286</v>
      </c>
    </row>
    <row r="163" spans="1:11" x14ac:dyDescent="0.3">
      <c r="A163" s="2">
        <v>44723</v>
      </c>
      <c r="B163" s="3" t="s">
        <v>13</v>
      </c>
      <c r="C163" s="3" t="s">
        <v>8</v>
      </c>
      <c r="D163" s="3" t="s">
        <v>24</v>
      </c>
      <c r="E163" s="3" t="s">
        <v>21</v>
      </c>
      <c r="F163" s="3" t="s">
        <v>28</v>
      </c>
      <c r="G163" s="3">
        <v>373.69</v>
      </c>
      <c r="H163" s="3">
        <v>396.56</v>
      </c>
      <c r="I163" s="3" t="s">
        <v>36</v>
      </c>
      <c r="J163" s="3">
        <v>6</v>
      </c>
      <c r="K163" s="5">
        <f>actual_vs_target_sales_dataset[[#This Row],[Sales_ Amount]]/actual_vs_target_sales_dataset[[#This Row],[Sales_Target]]</f>
        <v>0.94232902965503329</v>
      </c>
    </row>
    <row r="164" spans="1:11" x14ac:dyDescent="0.3">
      <c r="A164" s="2">
        <v>44724</v>
      </c>
      <c r="B164" s="3" t="s">
        <v>17</v>
      </c>
      <c r="C164" s="3" t="s">
        <v>8</v>
      </c>
      <c r="D164" s="3" t="s">
        <v>18</v>
      </c>
      <c r="E164" s="3" t="s">
        <v>21</v>
      </c>
      <c r="F164" s="3" t="s">
        <v>26</v>
      </c>
      <c r="G164" s="3">
        <v>11946.25</v>
      </c>
      <c r="H164" s="3">
        <v>10368.33</v>
      </c>
      <c r="I164" s="3" t="s">
        <v>36</v>
      </c>
      <c r="J164" s="3">
        <v>6</v>
      </c>
      <c r="K164" s="5">
        <f>actual_vs_target_sales_dataset[[#This Row],[Sales_ Amount]]/actual_vs_target_sales_dataset[[#This Row],[Sales_Target]]</f>
        <v>1.1521865141252257</v>
      </c>
    </row>
    <row r="165" spans="1:11" x14ac:dyDescent="0.3">
      <c r="A165" s="2">
        <v>44725</v>
      </c>
      <c r="B165" s="3" t="s">
        <v>17</v>
      </c>
      <c r="C165" s="3" t="s">
        <v>14</v>
      </c>
      <c r="D165" s="3" t="s">
        <v>18</v>
      </c>
      <c r="E165" s="3" t="s">
        <v>21</v>
      </c>
      <c r="F165" s="3" t="s">
        <v>31</v>
      </c>
      <c r="G165" s="3">
        <v>14613.14</v>
      </c>
      <c r="H165" s="3">
        <v>15380.21</v>
      </c>
      <c r="I165" s="3" t="s">
        <v>36</v>
      </c>
      <c r="J165" s="3">
        <v>6</v>
      </c>
      <c r="K165" s="5">
        <f>actual_vs_target_sales_dataset[[#This Row],[Sales_ Amount]]/actual_vs_target_sales_dataset[[#This Row],[Sales_Target]]</f>
        <v>0.95012616862838672</v>
      </c>
    </row>
    <row r="166" spans="1:11" x14ac:dyDescent="0.3">
      <c r="A166" s="2">
        <v>44726</v>
      </c>
      <c r="B166" s="3" t="s">
        <v>23</v>
      </c>
      <c r="C166" s="3" t="s">
        <v>22</v>
      </c>
      <c r="D166" s="3" t="s">
        <v>18</v>
      </c>
      <c r="E166" s="3" t="s">
        <v>19</v>
      </c>
      <c r="F166" s="3" t="s">
        <v>11</v>
      </c>
      <c r="G166" s="3">
        <v>-4303.03</v>
      </c>
      <c r="H166" s="3">
        <v>-3823.48</v>
      </c>
      <c r="I166" s="3" t="s">
        <v>36</v>
      </c>
      <c r="J166" s="3">
        <v>6</v>
      </c>
      <c r="K166" s="5">
        <f>actual_vs_target_sales_dataset[[#This Row],[Sales_ Amount]]/actual_vs_target_sales_dataset[[#This Row],[Sales_Target]]</f>
        <v>1.1254223900739639</v>
      </c>
    </row>
    <row r="167" spans="1:11" x14ac:dyDescent="0.3">
      <c r="A167" s="2">
        <v>44727</v>
      </c>
      <c r="B167" s="3" t="s">
        <v>23</v>
      </c>
      <c r="C167" s="3" t="s">
        <v>25</v>
      </c>
      <c r="D167" s="3" t="s">
        <v>15</v>
      </c>
      <c r="E167" s="3" t="s">
        <v>21</v>
      </c>
      <c r="F167" s="3" t="s">
        <v>27</v>
      </c>
      <c r="G167" s="3">
        <v>5444.86</v>
      </c>
      <c r="H167" s="3">
        <v>5720.69</v>
      </c>
      <c r="I167" s="3" t="s">
        <v>36</v>
      </c>
      <c r="J167" s="3">
        <v>6</v>
      </c>
      <c r="K167" s="5">
        <f>actual_vs_target_sales_dataset[[#This Row],[Sales_ Amount]]/actual_vs_target_sales_dataset[[#This Row],[Sales_Target]]</f>
        <v>0.95178378831924126</v>
      </c>
    </row>
    <row r="168" spans="1:11" x14ac:dyDescent="0.3">
      <c r="A168" s="2">
        <v>44728</v>
      </c>
      <c r="B168" s="3" t="s">
        <v>17</v>
      </c>
      <c r="C168" s="3" t="s">
        <v>14</v>
      </c>
      <c r="D168" s="3" t="s">
        <v>15</v>
      </c>
      <c r="E168" s="3" t="s">
        <v>19</v>
      </c>
      <c r="F168" s="3" t="s">
        <v>11</v>
      </c>
      <c r="G168" s="3">
        <v>23814.15</v>
      </c>
      <c r="H168" s="3">
        <v>24730.880000000001</v>
      </c>
      <c r="I168" s="3" t="s">
        <v>36</v>
      </c>
      <c r="J168" s="3">
        <v>6</v>
      </c>
      <c r="K168" s="5">
        <f>actual_vs_target_sales_dataset[[#This Row],[Sales_ Amount]]/actual_vs_target_sales_dataset[[#This Row],[Sales_Target]]</f>
        <v>0.96293176789503654</v>
      </c>
    </row>
    <row r="169" spans="1:11" x14ac:dyDescent="0.3">
      <c r="A169" s="2">
        <v>44729</v>
      </c>
      <c r="B169" s="3" t="s">
        <v>7</v>
      </c>
      <c r="C169" s="3" t="s">
        <v>25</v>
      </c>
      <c r="D169" s="3" t="s">
        <v>9</v>
      </c>
      <c r="E169" s="3" t="s">
        <v>10</v>
      </c>
      <c r="F169" s="3" t="s">
        <v>28</v>
      </c>
      <c r="G169" s="3">
        <v>6207.36</v>
      </c>
      <c r="H169" s="3">
        <v>6088.46</v>
      </c>
      <c r="I169" s="3" t="s">
        <v>36</v>
      </c>
      <c r="J169" s="3">
        <v>6</v>
      </c>
      <c r="K169" s="5">
        <f>actual_vs_target_sales_dataset[[#This Row],[Sales_ Amount]]/actual_vs_target_sales_dataset[[#This Row],[Sales_Target]]</f>
        <v>1.0195287478278579</v>
      </c>
    </row>
    <row r="170" spans="1:11" x14ac:dyDescent="0.3">
      <c r="A170" s="2">
        <v>44730</v>
      </c>
      <c r="B170" s="3" t="s">
        <v>17</v>
      </c>
      <c r="C170" s="3" t="s">
        <v>8</v>
      </c>
      <c r="D170" s="3" t="s">
        <v>24</v>
      </c>
      <c r="E170" s="3" t="s">
        <v>19</v>
      </c>
      <c r="F170" s="3" t="s">
        <v>26</v>
      </c>
      <c r="G170" s="3">
        <v>9350.24</v>
      </c>
      <c r="H170" s="3">
        <v>8932.67</v>
      </c>
      <c r="I170" s="3" t="s">
        <v>36</v>
      </c>
      <c r="J170" s="3">
        <v>6</v>
      </c>
      <c r="K170" s="5">
        <f>actual_vs_target_sales_dataset[[#This Row],[Sales_ Amount]]/actual_vs_target_sales_dataset[[#This Row],[Sales_Target]]</f>
        <v>1.0467463815410174</v>
      </c>
    </row>
    <row r="171" spans="1:11" x14ac:dyDescent="0.3">
      <c r="A171" s="2">
        <v>44731</v>
      </c>
      <c r="B171" s="3" t="s">
        <v>17</v>
      </c>
      <c r="C171" s="3" t="s">
        <v>14</v>
      </c>
      <c r="D171" s="3" t="s">
        <v>9</v>
      </c>
      <c r="E171" s="3" t="s">
        <v>21</v>
      </c>
      <c r="F171" s="3" t="s">
        <v>16</v>
      </c>
      <c r="G171" s="3">
        <v>4373.37</v>
      </c>
      <c r="H171" s="3">
        <v>3949.06</v>
      </c>
      <c r="I171" s="3" t="s">
        <v>36</v>
      </c>
      <c r="J171" s="3">
        <v>6</v>
      </c>
      <c r="K171" s="5">
        <f>actual_vs_target_sales_dataset[[#This Row],[Sales_ Amount]]/actual_vs_target_sales_dataset[[#This Row],[Sales_Target]]</f>
        <v>1.1074458225501764</v>
      </c>
    </row>
    <row r="172" spans="1:11" x14ac:dyDescent="0.3">
      <c r="A172" s="2">
        <v>44732</v>
      </c>
      <c r="B172" s="3" t="s">
        <v>23</v>
      </c>
      <c r="C172" s="3" t="s">
        <v>22</v>
      </c>
      <c r="D172" s="3" t="s">
        <v>24</v>
      </c>
      <c r="E172" s="3" t="s">
        <v>10</v>
      </c>
      <c r="F172" s="3" t="s">
        <v>31</v>
      </c>
      <c r="G172" s="3">
        <v>8194.18</v>
      </c>
      <c r="H172" s="3">
        <v>8545.25</v>
      </c>
      <c r="I172" s="3" t="s">
        <v>36</v>
      </c>
      <c r="J172" s="3">
        <v>6</v>
      </c>
      <c r="K172" s="5">
        <f>actual_vs_target_sales_dataset[[#This Row],[Sales_ Amount]]/actual_vs_target_sales_dataset[[#This Row],[Sales_Target]]</f>
        <v>0.95891635704046108</v>
      </c>
    </row>
    <row r="173" spans="1:11" x14ac:dyDescent="0.3">
      <c r="A173" s="2">
        <v>44733</v>
      </c>
      <c r="B173" s="3" t="s">
        <v>23</v>
      </c>
      <c r="C173" s="3" t="s">
        <v>8</v>
      </c>
      <c r="D173" s="3" t="s">
        <v>9</v>
      </c>
      <c r="E173" s="3" t="s">
        <v>21</v>
      </c>
      <c r="F173" s="3" t="s">
        <v>11</v>
      </c>
      <c r="G173" s="3">
        <v>3094.46</v>
      </c>
      <c r="H173" s="3">
        <v>2903.03</v>
      </c>
      <c r="I173" s="3" t="s">
        <v>36</v>
      </c>
      <c r="J173" s="3">
        <v>6</v>
      </c>
      <c r="K173" s="5">
        <f>actual_vs_target_sales_dataset[[#This Row],[Sales_ Amount]]/actual_vs_target_sales_dataset[[#This Row],[Sales_Target]]</f>
        <v>1.0659414473842845</v>
      </c>
    </row>
    <row r="174" spans="1:11" x14ac:dyDescent="0.3">
      <c r="A174" s="2">
        <v>44734</v>
      </c>
      <c r="B174" s="3" t="s">
        <v>7</v>
      </c>
      <c r="C174" s="3" t="s">
        <v>22</v>
      </c>
      <c r="D174" s="3" t="s">
        <v>9</v>
      </c>
      <c r="E174" s="3" t="s">
        <v>21</v>
      </c>
      <c r="F174" s="3" t="s">
        <v>28</v>
      </c>
      <c r="G174" s="3">
        <v>14274.71</v>
      </c>
      <c r="H174" s="3">
        <v>14591.57</v>
      </c>
      <c r="I174" s="3" t="s">
        <v>36</v>
      </c>
      <c r="J174" s="3">
        <v>6</v>
      </c>
      <c r="K174" s="5">
        <f>actual_vs_target_sales_dataset[[#This Row],[Sales_ Amount]]/actual_vs_target_sales_dataset[[#This Row],[Sales_Target]]</f>
        <v>0.97828472193190996</v>
      </c>
    </row>
    <row r="175" spans="1:11" x14ac:dyDescent="0.3">
      <c r="A175" s="2">
        <v>44735</v>
      </c>
      <c r="B175" s="3" t="s">
        <v>7</v>
      </c>
      <c r="C175" s="3" t="s">
        <v>22</v>
      </c>
      <c r="D175" s="3" t="s">
        <v>15</v>
      </c>
      <c r="E175" s="3" t="s">
        <v>19</v>
      </c>
      <c r="F175" s="3" t="s">
        <v>30</v>
      </c>
      <c r="G175" s="3">
        <v>7919.09</v>
      </c>
      <c r="H175" s="3">
        <v>7492.11</v>
      </c>
      <c r="I175" s="3" t="s">
        <v>36</v>
      </c>
      <c r="J175" s="3">
        <v>6</v>
      </c>
      <c r="K175" s="5">
        <f>actual_vs_target_sales_dataset[[#This Row],[Sales_ Amount]]/actual_vs_target_sales_dataset[[#This Row],[Sales_Target]]</f>
        <v>1.0569906207997481</v>
      </c>
    </row>
    <row r="176" spans="1:11" x14ac:dyDescent="0.3">
      <c r="A176" s="2">
        <v>44736</v>
      </c>
      <c r="B176" s="3" t="s">
        <v>13</v>
      </c>
      <c r="C176" s="3" t="s">
        <v>8</v>
      </c>
      <c r="D176" s="3" t="s">
        <v>18</v>
      </c>
      <c r="E176" s="3" t="s">
        <v>19</v>
      </c>
      <c r="F176" s="3" t="s">
        <v>28</v>
      </c>
      <c r="G176" s="3">
        <v>4925.54</v>
      </c>
      <c r="H176" s="3">
        <v>5131.29</v>
      </c>
      <c r="I176" s="3" t="s">
        <v>36</v>
      </c>
      <c r="J176" s="3">
        <v>6</v>
      </c>
      <c r="K176" s="5">
        <f>actual_vs_target_sales_dataset[[#This Row],[Sales_ Amount]]/actual_vs_target_sales_dataset[[#This Row],[Sales_Target]]</f>
        <v>0.95990287042829381</v>
      </c>
    </row>
    <row r="177" spans="1:11" x14ac:dyDescent="0.3">
      <c r="A177" s="2">
        <v>44737</v>
      </c>
      <c r="B177" s="3" t="s">
        <v>13</v>
      </c>
      <c r="C177" s="3" t="s">
        <v>25</v>
      </c>
      <c r="D177" s="3" t="s">
        <v>24</v>
      </c>
      <c r="E177" s="3" t="s">
        <v>10</v>
      </c>
      <c r="F177" s="3" t="s">
        <v>31</v>
      </c>
      <c r="G177" s="3">
        <v>-2328.2800000000002</v>
      </c>
      <c r="H177" s="3">
        <v>-2343.73</v>
      </c>
      <c r="I177" s="3" t="s">
        <v>36</v>
      </c>
      <c r="J177" s="3">
        <v>6</v>
      </c>
      <c r="K177" s="5">
        <f>actual_vs_target_sales_dataset[[#This Row],[Sales_ Amount]]/actual_vs_target_sales_dataset[[#This Row],[Sales_Target]]</f>
        <v>0.99340794374778674</v>
      </c>
    </row>
    <row r="178" spans="1:11" x14ac:dyDescent="0.3">
      <c r="A178" s="2">
        <v>44738</v>
      </c>
      <c r="B178" s="3" t="s">
        <v>7</v>
      </c>
      <c r="C178" s="3" t="s">
        <v>22</v>
      </c>
      <c r="D178" s="3" t="s">
        <v>18</v>
      </c>
      <c r="E178" s="3" t="s">
        <v>19</v>
      </c>
      <c r="F178" s="3" t="s">
        <v>27</v>
      </c>
      <c r="G178" s="3">
        <v>7360.14</v>
      </c>
      <c r="H178" s="3">
        <v>7365.34</v>
      </c>
      <c r="I178" s="3" t="s">
        <v>36</v>
      </c>
      <c r="J178" s="3">
        <v>6</v>
      </c>
      <c r="K178" s="5">
        <f>actual_vs_target_sales_dataset[[#This Row],[Sales_ Amount]]/actual_vs_target_sales_dataset[[#This Row],[Sales_Target]]</f>
        <v>0.99929399050145684</v>
      </c>
    </row>
    <row r="179" spans="1:11" x14ac:dyDescent="0.3">
      <c r="A179" s="2">
        <v>44739</v>
      </c>
      <c r="B179" s="3" t="s">
        <v>17</v>
      </c>
      <c r="C179" s="3" t="s">
        <v>25</v>
      </c>
      <c r="D179" s="3" t="s">
        <v>18</v>
      </c>
      <c r="E179" s="3" t="s">
        <v>19</v>
      </c>
      <c r="F179" s="3" t="s">
        <v>31</v>
      </c>
      <c r="G179" s="3">
        <v>-5017.1499999999996</v>
      </c>
      <c r="H179" s="3">
        <v>-4603.4799999999996</v>
      </c>
      <c r="I179" s="3" t="s">
        <v>36</v>
      </c>
      <c r="J179" s="3">
        <v>6</v>
      </c>
      <c r="K179" s="5">
        <f>actual_vs_target_sales_dataset[[#This Row],[Sales_ Amount]]/actual_vs_target_sales_dataset[[#This Row],[Sales_Target]]</f>
        <v>1.0898602796145525</v>
      </c>
    </row>
    <row r="180" spans="1:11" x14ac:dyDescent="0.3">
      <c r="A180" s="2">
        <v>44740</v>
      </c>
      <c r="B180" s="3" t="s">
        <v>23</v>
      </c>
      <c r="C180" s="3" t="s">
        <v>25</v>
      </c>
      <c r="D180" s="3" t="s">
        <v>9</v>
      </c>
      <c r="E180" s="3" t="s">
        <v>19</v>
      </c>
      <c r="F180" s="3" t="s">
        <v>29</v>
      </c>
      <c r="G180" s="3">
        <v>3358.77</v>
      </c>
      <c r="H180" s="3">
        <v>3450.58</v>
      </c>
      <c r="I180" s="3" t="s">
        <v>36</v>
      </c>
      <c r="J180" s="3">
        <v>6</v>
      </c>
      <c r="K180" s="5">
        <f>actual_vs_target_sales_dataset[[#This Row],[Sales_ Amount]]/actual_vs_target_sales_dataset[[#This Row],[Sales_Target]]</f>
        <v>0.97339287887833348</v>
      </c>
    </row>
    <row r="181" spans="1:11" x14ac:dyDescent="0.3">
      <c r="A181" s="2">
        <v>44741</v>
      </c>
      <c r="B181" s="3" t="s">
        <v>17</v>
      </c>
      <c r="C181" s="3" t="s">
        <v>14</v>
      </c>
      <c r="D181" s="3" t="s">
        <v>15</v>
      </c>
      <c r="E181" s="3" t="s">
        <v>21</v>
      </c>
      <c r="F181" s="3" t="s">
        <v>29</v>
      </c>
      <c r="G181" s="3">
        <v>-2111.19</v>
      </c>
      <c r="H181" s="3">
        <v>-1851.38</v>
      </c>
      <c r="I181" s="3" t="s">
        <v>36</v>
      </c>
      <c r="J181" s="3">
        <v>6</v>
      </c>
      <c r="K181" s="5">
        <f>actual_vs_target_sales_dataset[[#This Row],[Sales_ Amount]]/actual_vs_target_sales_dataset[[#This Row],[Sales_Target]]</f>
        <v>1.1403331568883752</v>
      </c>
    </row>
    <row r="182" spans="1:11" x14ac:dyDescent="0.3">
      <c r="A182" s="2">
        <v>44742</v>
      </c>
      <c r="B182" s="3" t="s">
        <v>23</v>
      </c>
      <c r="C182" s="3" t="s">
        <v>22</v>
      </c>
      <c r="D182" s="3" t="s">
        <v>15</v>
      </c>
      <c r="E182" s="3" t="s">
        <v>21</v>
      </c>
      <c r="F182" s="3" t="s">
        <v>31</v>
      </c>
      <c r="G182" s="3">
        <v>10339.64</v>
      </c>
      <c r="H182" s="3">
        <v>10665.22</v>
      </c>
      <c r="I182" s="3" t="s">
        <v>36</v>
      </c>
      <c r="J182" s="3">
        <v>6</v>
      </c>
      <c r="K182" s="5">
        <f>actual_vs_target_sales_dataset[[#This Row],[Sales_ Amount]]/actual_vs_target_sales_dataset[[#This Row],[Sales_Target]]</f>
        <v>0.96947273473964912</v>
      </c>
    </row>
    <row r="183" spans="1:11" x14ac:dyDescent="0.3">
      <c r="A183" s="2">
        <v>44743</v>
      </c>
      <c r="B183" s="3" t="s">
        <v>7</v>
      </c>
      <c r="C183" s="3" t="s">
        <v>22</v>
      </c>
      <c r="D183" s="3" t="s">
        <v>18</v>
      </c>
      <c r="E183" s="3" t="s">
        <v>19</v>
      </c>
      <c r="F183" s="3" t="s">
        <v>26</v>
      </c>
      <c r="G183" s="3">
        <v>8267.8799999999992</v>
      </c>
      <c r="H183" s="3">
        <v>7057.68</v>
      </c>
      <c r="I183" s="3" t="s">
        <v>37</v>
      </c>
      <c r="J183" s="3">
        <v>7</v>
      </c>
      <c r="K183" s="5">
        <f>actual_vs_target_sales_dataset[[#This Row],[Sales_ Amount]]/actual_vs_target_sales_dataset[[#This Row],[Sales_Target]]</f>
        <v>1.1714727785901315</v>
      </c>
    </row>
    <row r="184" spans="1:11" x14ac:dyDescent="0.3">
      <c r="A184" s="2">
        <v>44744</v>
      </c>
      <c r="B184" s="3" t="s">
        <v>23</v>
      </c>
      <c r="C184" s="3" t="s">
        <v>14</v>
      </c>
      <c r="D184" s="3" t="s">
        <v>18</v>
      </c>
      <c r="E184" s="3" t="s">
        <v>21</v>
      </c>
      <c r="F184" s="3" t="s">
        <v>28</v>
      </c>
      <c r="G184" s="3">
        <v>-6502.01</v>
      </c>
      <c r="H184" s="3">
        <v>-6162.55</v>
      </c>
      <c r="I184" s="3" t="s">
        <v>37</v>
      </c>
      <c r="J184" s="3">
        <v>7</v>
      </c>
      <c r="K184" s="5">
        <f>actual_vs_target_sales_dataset[[#This Row],[Sales_ Amount]]/actual_vs_target_sales_dataset[[#This Row],[Sales_Target]]</f>
        <v>1.0550843400864902</v>
      </c>
    </row>
    <row r="185" spans="1:11" x14ac:dyDescent="0.3">
      <c r="A185" s="2">
        <v>44745</v>
      </c>
      <c r="B185" s="3" t="s">
        <v>20</v>
      </c>
      <c r="C185" s="3" t="s">
        <v>25</v>
      </c>
      <c r="D185" s="3" t="s">
        <v>15</v>
      </c>
      <c r="E185" s="3" t="s">
        <v>19</v>
      </c>
      <c r="F185" s="3" t="s">
        <v>31</v>
      </c>
      <c r="G185" s="3">
        <v>-1148.58</v>
      </c>
      <c r="H185" s="3">
        <v>-1075.01</v>
      </c>
      <c r="I185" s="3" t="s">
        <v>37</v>
      </c>
      <c r="J185" s="3">
        <v>7</v>
      </c>
      <c r="K185" s="5">
        <f>actual_vs_target_sales_dataset[[#This Row],[Sales_ Amount]]/actual_vs_target_sales_dataset[[#This Row],[Sales_Target]]</f>
        <v>1.0684365726830447</v>
      </c>
    </row>
    <row r="186" spans="1:11" x14ac:dyDescent="0.3">
      <c r="A186" s="2">
        <v>44746</v>
      </c>
      <c r="B186" s="3" t="s">
        <v>7</v>
      </c>
      <c r="C186" s="3" t="s">
        <v>14</v>
      </c>
      <c r="D186" s="3" t="s">
        <v>24</v>
      </c>
      <c r="E186" s="3" t="s">
        <v>19</v>
      </c>
      <c r="F186" s="3" t="s">
        <v>31</v>
      </c>
      <c r="G186" s="3">
        <v>13547.62</v>
      </c>
      <c r="H186" s="3">
        <v>12798.51</v>
      </c>
      <c r="I186" s="3" t="s">
        <v>37</v>
      </c>
      <c r="J186" s="3">
        <v>7</v>
      </c>
      <c r="K186" s="5">
        <f>actual_vs_target_sales_dataset[[#This Row],[Sales_ Amount]]/actual_vs_target_sales_dataset[[#This Row],[Sales_Target]]</f>
        <v>1.0585310321279586</v>
      </c>
    </row>
    <row r="187" spans="1:11" x14ac:dyDescent="0.3">
      <c r="A187" s="2">
        <v>44747</v>
      </c>
      <c r="B187" s="3" t="s">
        <v>23</v>
      </c>
      <c r="C187" s="3" t="s">
        <v>14</v>
      </c>
      <c r="D187" s="3" t="s">
        <v>15</v>
      </c>
      <c r="E187" s="3" t="s">
        <v>21</v>
      </c>
      <c r="F187" s="3" t="s">
        <v>16</v>
      </c>
      <c r="G187" s="3">
        <v>11400.04</v>
      </c>
      <c r="H187" s="3">
        <v>12110.68</v>
      </c>
      <c r="I187" s="3" t="s">
        <v>37</v>
      </c>
      <c r="J187" s="3">
        <v>7</v>
      </c>
      <c r="K187" s="5">
        <f>actual_vs_target_sales_dataset[[#This Row],[Sales_ Amount]]/actual_vs_target_sales_dataset[[#This Row],[Sales_Target]]</f>
        <v>0.94132121400284707</v>
      </c>
    </row>
    <row r="188" spans="1:11" x14ac:dyDescent="0.3">
      <c r="A188" s="2">
        <v>44748</v>
      </c>
      <c r="B188" s="3" t="s">
        <v>13</v>
      </c>
      <c r="C188" s="3" t="s">
        <v>8</v>
      </c>
      <c r="D188" s="3" t="s">
        <v>15</v>
      </c>
      <c r="E188" s="3" t="s">
        <v>19</v>
      </c>
      <c r="F188" s="3" t="s">
        <v>29</v>
      </c>
      <c r="G188" s="3">
        <v>13420.03</v>
      </c>
      <c r="H188" s="3">
        <v>12670.74</v>
      </c>
      <c r="I188" s="3" t="s">
        <v>37</v>
      </c>
      <c r="J188" s="3">
        <v>7</v>
      </c>
      <c r="K188" s="5">
        <f>actual_vs_target_sales_dataset[[#This Row],[Sales_ Amount]]/actual_vs_target_sales_dataset[[#This Row],[Sales_Target]]</f>
        <v>1.0591354569662073</v>
      </c>
    </row>
    <row r="189" spans="1:11" x14ac:dyDescent="0.3">
      <c r="A189" s="2">
        <v>44749</v>
      </c>
      <c r="B189" s="3" t="s">
        <v>13</v>
      </c>
      <c r="C189" s="3" t="s">
        <v>22</v>
      </c>
      <c r="D189" s="3" t="s">
        <v>9</v>
      </c>
      <c r="E189" s="3" t="s">
        <v>10</v>
      </c>
      <c r="F189" s="3" t="s">
        <v>30</v>
      </c>
      <c r="G189" s="3">
        <v>5813.5</v>
      </c>
      <c r="H189" s="3">
        <v>5873.14</v>
      </c>
      <c r="I189" s="3" t="s">
        <v>37</v>
      </c>
      <c r="J189" s="3">
        <v>7</v>
      </c>
      <c r="K189" s="5">
        <f>actual_vs_target_sales_dataset[[#This Row],[Sales_ Amount]]/actual_vs_target_sales_dataset[[#This Row],[Sales_Target]]</f>
        <v>0.98984529570212865</v>
      </c>
    </row>
    <row r="190" spans="1:11" x14ac:dyDescent="0.3">
      <c r="A190" s="2">
        <v>44750</v>
      </c>
      <c r="B190" s="3" t="s">
        <v>17</v>
      </c>
      <c r="C190" s="3" t="s">
        <v>14</v>
      </c>
      <c r="D190" s="3" t="s">
        <v>18</v>
      </c>
      <c r="E190" s="3" t="s">
        <v>10</v>
      </c>
      <c r="F190" s="3" t="s">
        <v>26</v>
      </c>
      <c r="G190" s="3">
        <v>5246.92</v>
      </c>
      <c r="H190" s="3">
        <v>4985.6400000000003</v>
      </c>
      <c r="I190" s="3" t="s">
        <v>37</v>
      </c>
      <c r="J190" s="3">
        <v>7</v>
      </c>
      <c r="K190" s="5">
        <f>actual_vs_target_sales_dataset[[#This Row],[Sales_ Amount]]/actual_vs_target_sales_dataset[[#This Row],[Sales_Target]]</f>
        <v>1.0524065115010308</v>
      </c>
    </row>
    <row r="191" spans="1:11" x14ac:dyDescent="0.3">
      <c r="A191" s="2">
        <v>44751</v>
      </c>
      <c r="B191" s="3" t="s">
        <v>17</v>
      </c>
      <c r="C191" s="3" t="s">
        <v>22</v>
      </c>
      <c r="D191" s="3" t="s">
        <v>24</v>
      </c>
      <c r="E191" s="3" t="s">
        <v>19</v>
      </c>
      <c r="F191" s="3" t="s">
        <v>31</v>
      </c>
      <c r="G191" s="3">
        <v>14359.36</v>
      </c>
      <c r="H191" s="3">
        <v>15152.15</v>
      </c>
      <c r="I191" s="3" t="s">
        <v>37</v>
      </c>
      <c r="J191" s="3">
        <v>7</v>
      </c>
      <c r="K191" s="5">
        <f>actual_vs_target_sales_dataset[[#This Row],[Sales_ Amount]]/actual_vs_target_sales_dataset[[#This Row],[Sales_Target]]</f>
        <v>0.94767805228960911</v>
      </c>
    </row>
    <row r="192" spans="1:11" x14ac:dyDescent="0.3">
      <c r="A192" s="2">
        <v>44752</v>
      </c>
      <c r="B192" s="3" t="s">
        <v>17</v>
      </c>
      <c r="C192" s="3" t="s">
        <v>8</v>
      </c>
      <c r="D192" s="3" t="s">
        <v>15</v>
      </c>
      <c r="E192" s="3" t="s">
        <v>10</v>
      </c>
      <c r="F192" s="3" t="s">
        <v>28</v>
      </c>
      <c r="G192" s="3">
        <v>12024.27</v>
      </c>
      <c r="H192" s="3">
        <v>12900.34</v>
      </c>
      <c r="I192" s="3" t="s">
        <v>37</v>
      </c>
      <c r="J192" s="3">
        <v>7</v>
      </c>
      <c r="K192" s="5">
        <f>actual_vs_target_sales_dataset[[#This Row],[Sales_ Amount]]/actual_vs_target_sales_dataset[[#This Row],[Sales_Target]]</f>
        <v>0.93208938679135589</v>
      </c>
    </row>
    <row r="193" spans="1:11" x14ac:dyDescent="0.3">
      <c r="A193" s="2">
        <v>44753</v>
      </c>
      <c r="B193" s="3" t="s">
        <v>23</v>
      </c>
      <c r="C193" s="3" t="s">
        <v>8</v>
      </c>
      <c r="D193" s="3" t="s">
        <v>24</v>
      </c>
      <c r="E193" s="3" t="s">
        <v>21</v>
      </c>
      <c r="F193" s="3" t="s">
        <v>28</v>
      </c>
      <c r="G193" s="3">
        <v>7539.56</v>
      </c>
      <c r="H193" s="3">
        <v>6814.3</v>
      </c>
      <c r="I193" s="3" t="s">
        <v>37</v>
      </c>
      <c r="J193" s="3">
        <v>7</v>
      </c>
      <c r="K193" s="5">
        <f>actual_vs_target_sales_dataset[[#This Row],[Sales_ Amount]]/actual_vs_target_sales_dataset[[#This Row],[Sales_Target]]</f>
        <v>1.1064320619872914</v>
      </c>
    </row>
    <row r="194" spans="1:11" x14ac:dyDescent="0.3">
      <c r="A194" s="2">
        <v>44754</v>
      </c>
      <c r="B194" s="3" t="s">
        <v>7</v>
      </c>
      <c r="C194" s="3" t="s">
        <v>22</v>
      </c>
      <c r="D194" s="3" t="s">
        <v>9</v>
      </c>
      <c r="E194" s="3" t="s">
        <v>10</v>
      </c>
      <c r="F194" s="3" t="s">
        <v>11</v>
      </c>
      <c r="G194" s="3">
        <v>13797.54</v>
      </c>
      <c r="H194" s="3">
        <v>11908.3</v>
      </c>
      <c r="I194" s="3" t="s">
        <v>37</v>
      </c>
      <c r="J194" s="3">
        <v>7</v>
      </c>
      <c r="K194" s="5">
        <f>actual_vs_target_sales_dataset[[#This Row],[Sales_ Amount]]/actual_vs_target_sales_dataset[[#This Row],[Sales_Target]]</f>
        <v>1.1586490095143724</v>
      </c>
    </row>
    <row r="195" spans="1:11" x14ac:dyDescent="0.3">
      <c r="A195" s="2">
        <v>44755</v>
      </c>
      <c r="B195" s="3" t="s">
        <v>20</v>
      </c>
      <c r="C195" s="3" t="s">
        <v>8</v>
      </c>
      <c r="D195" s="3" t="s">
        <v>15</v>
      </c>
      <c r="E195" s="3" t="s">
        <v>21</v>
      </c>
      <c r="F195" s="3" t="s">
        <v>29</v>
      </c>
      <c r="G195" s="3">
        <v>244.78</v>
      </c>
      <c r="H195" s="3">
        <v>265.14</v>
      </c>
      <c r="I195" s="3" t="s">
        <v>37</v>
      </c>
      <c r="J195" s="3">
        <v>7</v>
      </c>
      <c r="K195" s="5">
        <f>actual_vs_target_sales_dataset[[#This Row],[Sales_ Amount]]/actual_vs_target_sales_dataset[[#This Row],[Sales_Target]]</f>
        <v>0.92321037942219208</v>
      </c>
    </row>
    <row r="196" spans="1:11" x14ac:dyDescent="0.3">
      <c r="A196" s="2">
        <v>44756</v>
      </c>
      <c r="B196" s="3" t="s">
        <v>23</v>
      </c>
      <c r="C196" s="3" t="s">
        <v>25</v>
      </c>
      <c r="D196" s="3" t="s">
        <v>24</v>
      </c>
      <c r="E196" s="3" t="s">
        <v>10</v>
      </c>
      <c r="F196" s="3" t="s">
        <v>27</v>
      </c>
      <c r="G196" s="3">
        <v>7453.89</v>
      </c>
      <c r="H196" s="3">
        <v>7906.48</v>
      </c>
      <c r="I196" s="3" t="s">
        <v>37</v>
      </c>
      <c r="J196" s="3">
        <v>7</v>
      </c>
      <c r="K196" s="5">
        <f>actual_vs_target_sales_dataset[[#This Row],[Sales_ Amount]]/actual_vs_target_sales_dataset[[#This Row],[Sales_Target]]</f>
        <v>0.94275708026833693</v>
      </c>
    </row>
    <row r="197" spans="1:11" x14ac:dyDescent="0.3">
      <c r="A197" s="2">
        <v>44757</v>
      </c>
      <c r="B197" s="3" t="s">
        <v>13</v>
      </c>
      <c r="C197" s="3" t="s">
        <v>8</v>
      </c>
      <c r="D197" s="3" t="s">
        <v>15</v>
      </c>
      <c r="E197" s="3" t="s">
        <v>19</v>
      </c>
      <c r="F197" s="3" t="s">
        <v>29</v>
      </c>
      <c r="G197" s="3">
        <v>12047.4</v>
      </c>
      <c r="H197" s="3">
        <v>10639.37</v>
      </c>
      <c r="I197" s="3" t="s">
        <v>37</v>
      </c>
      <c r="J197" s="3">
        <v>7</v>
      </c>
      <c r="K197" s="5">
        <f>actual_vs_target_sales_dataset[[#This Row],[Sales_ Amount]]/actual_vs_target_sales_dataset[[#This Row],[Sales_Target]]</f>
        <v>1.1323414826253808</v>
      </c>
    </row>
    <row r="198" spans="1:11" x14ac:dyDescent="0.3">
      <c r="A198" s="2">
        <v>44758</v>
      </c>
      <c r="B198" s="3" t="s">
        <v>17</v>
      </c>
      <c r="C198" s="3" t="s">
        <v>25</v>
      </c>
      <c r="D198" s="3" t="s">
        <v>15</v>
      </c>
      <c r="E198" s="3" t="s">
        <v>21</v>
      </c>
      <c r="F198" s="3" t="s">
        <v>27</v>
      </c>
      <c r="G198" s="3">
        <v>4722.5200000000004</v>
      </c>
      <c r="H198" s="3">
        <v>4381.3500000000004</v>
      </c>
      <c r="I198" s="3" t="s">
        <v>37</v>
      </c>
      <c r="J198" s="3">
        <v>7</v>
      </c>
      <c r="K198" s="5">
        <f>actual_vs_target_sales_dataset[[#This Row],[Sales_ Amount]]/actual_vs_target_sales_dataset[[#This Row],[Sales_Target]]</f>
        <v>1.0778686934392367</v>
      </c>
    </row>
    <row r="199" spans="1:11" x14ac:dyDescent="0.3">
      <c r="A199" s="2">
        <v>44759</v>
      </c>
      <c r="B199" s="3" t="s">
        <v>23</v>
      </c>
      <c r="C199" s="3" t="s">
        <v>14</v>
      </c>
      <c r="D199" s="3" t="s">
        <v>24</v>
      </c>
      <c r="E199" s="3" t="s">
        <v>21</v>
      </c>
      <c r="F199" s="3" t="s">
        <v>26</v>
      </c>
      <c r="G199" s="3">
        <v>11051.74</v>
      </c>
      <c r="H199" s="3">
        <v>11540.04</v>
      </c>
      <c r="I199" s="3" t="s">
        <v>37</v>
      </c>
      <c r="J199" s="3">
        <v>7</v>
      </c>
      <c r="K199" s="5">
        <f>actual_vs_target_sales_dataset[[#This Row],[Sales_ Amount]]/actual_vs_target_sales_dataset[[#This Row],[Sales_Target]]</f>
        <v>0.95768645515960071</v>
      </c>
    </row>
    <row r="200" spans="1:11" x14ac:dyDescent="0.3">
      <c r="A200" s="2">
        <v>44760</v>
      </c>
      <c r="B200" s="3" t="s">
        <v>17</v>
      </c>
      <c r="C200" s="3" t="s">
        <v>8</v>
      </c>
      <c r="D200" s="3" t="s">
        <v>18</v>
      </c>
      <c r="E200" s="3" t="s">
        <v>21</v>
      </c>
      <c r="F200" s="3" t="s">
        <v>30</v>
      </c>
      <c r="G200" s="3">
        <v>11045.56</v>
      </c>
      <c r="H200" s="3">
        <v>12044.95</v>
      </c>
      <c r="I200" s="3" t="s">
        <v>37</v>
      </c>
      <c r="J200" s="3">
        <v>7</v>
      </c>
      <c r="K200" s="5">
        <f>actual_vs_target_sales_dataset[[#This Row],[Sales_ Amount]]/actual_vs_target_sales_dataset[[#This Row],[Sales_Target]]</f>
        <v>0.91702829816645137</v>
      </c>
    </row>
    <row r="201" spans="1:11" x14ac:dyDescent="0.3">
      <c r="A201" s="2">
        <v>44761</v>
      </c>
      <c r="B201" s="3" t="s">
        <v>20</v>
      </c>
      <c r="C201" s="3" t="s">
        <v>14</v>
      </c>
      <c r="D201" s="3" t="s">
        <v>15</v>
      </c>
      <c r="E201" s="3" t="s">
        <v>10</v>
      </c>
      <c r="F201" s="3" t="s">
        <v>31</v>
      </c>
      <c r="G201" s="3">
        <v>7723.88</v>
      </c>
      <c r="H201" s="3">
        <v>7439.3</v>
      </c>
      <c r="I201" s="3" t="s">
        <v>37</v>
      </c>
      <c r="J201" s="3">
        <v>7</v>
      </c>
      <c r="K201" s="5">
        <f>actual_vs_target_sales_dataset[[#This Row],[Sales_ Amount]]/actual_vs_target_sales_dataset[[#This Row],[Sales_Target]]</f>
        <v>1.0382535991289503</v>
      </c>
    </row>
    <row r="202" spans="1:11" x14ac:dyDescent="0.3">
      <c r="A202" s="2">
        <v>44762</v>
      </c>
      <c r="B202" s="3" t="s">
        <v>23</v>
      </c>
      <c r="C202" s="3" t="s">
        <v>25</v>
      </c>
      <c r="D202" s="3" t="s">
        <v>9</v>
      </c>
      <c r="E202" s="3" t="s">
        <v>19</v>
      </c>
      <c r="F202" s="3" t="s">
        <v>30</v>
      </c>
      <c r="G202" s="3">
        <v>18607.43</v>
      </c>
      <c r="H202" s="3">
        <v>19350.77</v>
      </c>
      <c r="I202" s="3" t="s">
        <v>37</v>
      </c>
      <c r="J202" s="3">
        <v>7</v>
      </c>
      <c r="K202" s="5">
        <f>actual_vs_target_sales_dataset[[#This Row],[Sales_ Amount]]/actual_vs_target_sales_dataset[[#This Row],[Sales_Target]]</f>
        <v>0.96158602474216792</v>
      </c>
    </row>
    <row r="203" spans="1:11" x14ac:dyDescent="0.3">
      <c r="A203" s="2">
        <v>44763</v>
      </c>
      <c r="B203" s="3" t="s">
        <v>23</v>
      </c>
      <c r="C203" s="3" t="s">
        <v>22</v>
      </c>
      <c r="D203" s="3" t="s">
        <v>18</v>
      </c>
      <c r="E203" s="3" t="s">
        <v>10</v>
      </c>
      <c r="F203" s="3" t="s">
        <v>27</v>
      </c>
      <c r="G203" s="3">
        <v>8077.31</v>
      </c>
      <c r="H203" s="3">
        <v>9217.89</v>
      </c>
      <c r="I203" s="3" t="s">
        <v>37</v>
      </c>
      <c r="J203" s="3">
        <v>7</v>
      </c>
      <c r="K203" s="5">
        <f>actual_vs_target_sales_dataset[[#This Row],[Sales_ Amount]]/actual_vs_target_sales_dataset[[#This Row],[Sales_Target]]</f>
        <v>0.87626452474481697</v>
      </c>
    </row>
    <row r="204" spans="1:11" x14ac:dyDescent="0.3">
      <c r="A204" s="2">
        <v>44764</v>
      </c>
      <c r="B204" s="3" t="s">
        <v>13</v>
      </c>
      <c r="C204" s="3" t="s">
        <v>8</v>
      </c>
      <c r="D204" s="3" t="s">
        <v>15</v>
      </c>
      <c r="E204" s="3" t="s">
        <v>21</v>
      </c>
      <c r="F204" s="3" t="s">
        <v>31</v>
      </c>
      <c r="G204" s="3">
        <v>14821.29</v>
      </c>
      <c r="H204" s="3">
        <v>14382.12</v>
      </c>
      <c r="I204" s="3" t="s">
        <v>37</v>
      </c>
      <c r="J204" s="3">
        <v>7</v>
      </c>
      <c r="K204" s="5">
        <f>actual_vs_target_sales_dataset[[#This Row],[Sales_ Amount]]/actual_vs_target_sales_dataset[[#This Row],[Sales_Target]]</f>
        <v>1.0305358319913893</v>
      </c>
    </row>
    <row r="205" spans="1:11" x14ac:dyDescent="0.3">
      <c r="A205" s="2">
        <v>44765</v>
      </c>
      <c r="B205" s="3" t="s">
        <v>7</v>
      </c>
      <c r="C205" s="3" t="s">
        <v>25</v>
      </c>
      <c r="D205" s="3" t="s">
        <v>18</v>
      </c>
      <c r="E205" s="3" t="s">
        <v>10</v>
      </c>
      <c r="F205" s="3" t="s">
        <v>31</v>
      </c>
      <c r="G205" s="3">
        <v>9327.5499999999993</v>
      </c>
      <c r="H205" s="3">
        <v>9620.7900000000009</v>
      </c>
      <c r="I205" s="3" t="s">
        <v>37</v>
      </c>
      <c r="J205" s="3">
        <v>7</v>
      </c>
      <c r="K205" s="5">
        <f>actual_vs_target_sales_dataset[[#This Row],[Sales_ Amount]]/actual_vs_target_sales_dataset[[#This Row],[Sales_Target]]</f>
        <v>0.96952017453868122</v>
      </c>
    </row>
    <row r="206" spans="1:11" x14ac:dyDescent="0.3">
      <c r="A206" s="2">
        <v>44766</v>
      </c>
      <c r="B206" s="3" t="s">
        <v>7</v>
      </c>
      <c r="C206" s="3" t="s">
        <v>8</v>
      </c>
      <c r="D206" s="3" t="s">
        <v>18</v>
      </c>
      <c r="E206" s="3" t="s">
        <v>19</v>
      </c>
      <c r="F206" s="3" t="s">
        <v>31</v>
      </c>
      <c r="G206" s="3">
        <v>14562.71</v>
      </c>
      <c r="H206" s="3">
        <v>15477.55</v>
      </c>
      <c r="I206" s="3" t="s">
        <v>37</v>
      </c>
      <c r="J206" s="3">
        <v>7</v>
      </c>
      <c r="K206" s="5">
        <f>actual_vs_target_sales_dataset[[#This Row],[Sales_ Amount]]/actual_vs_target_sales_dataset[[#This Row],[Sales_Target]]</f>
        <v>0.94089245390904885</v>
      </c>
    </row>
    <row r="207" spans="1:11" x14ac:dyDescent="0.3">
      <c r="A207" s="2">
        <v>44767</v>
      </c>
      <c r="B207" s="3" t="s">
        <v>17</v>
      </c>
      <c r="C207" s="3" t="s">
        <v>14</v>
      </c>
      <c r="D207" s="3" t="s">
        <v>15</v>
      </c>
      <c r="E207" s="3" t="s">
        <v>19</v>
      </c>
      <c r="F207" s="3" t="s">
        <v>31</v>
      </c>
      <c r="G207" s="3">
        <v>13124.83</v>
      </c>
      <c r="H207" s="3">
        <v>13480.48</v>
      </c>
      <c r="I207" s="3" t="s">
        <v>37</v>
      </c>
      <c r="J207" s="3">
        <v>7</v>
      </c>
      <c r="K207" s="5">
        <f>actual_vs_target_sales_dataset[[#This Row],[Sales_ Amount]]/actual_vs_target_sales_dataset[[#This Row],[Sales_Target]]</f>
        <v>0.97361740828219767</v>
      </c>
    </row>
    <row r="208" spans="1:11" x14ac:dyDescent="0.3">
      <c r="A208" s="2">
        <v>44768</v>
      </c>
      <c r="B208" s="3" t="s">
        <v>23</v>
      </c>
      <c r="C208" s="3" t="s">
        <v>14</v>
      </c>
      <c r="D208" s="3" t="s">
        <v>24</v>
      </c>
      <c r="E208" s="3" t="s">
        <v>19</v>
      </c>
      <c r="F208" s="3" t="s">
        <v>16</v>
      </c>
      <c r="G208" s="3">
        <v>-7836.77</v>
      </c>
      <c r="H208" s="3">
        <v>-7371.56</v>
      </c>
      <c r="I208" s="3" t="s">
        <v>37</v>
      </c>
      <c r="J208" s="3">
        <v>7</v>
      </c>
      <c r="K208" s="5">
        <f>actual_vs_target_sales_dataset[[#This Row],[Sales_ Amount]]/actual_vs_target_sales_dataset[[#This Row],[Sales_Target]]</f>
        <v>1.0631087585260108</v>
      </c>
    </row>
    <row r="209" spans="1:11" x14ac:dyDescent="0.3">
      <c r="A209" s="2">
        <v>44769</v>
      </c>
      <c r="B209" s="3" t="s">
        <v>20</v>
      </c>
      <c r="C209" s="3" t="s">
        <v>14</v>
      </c>
      <c r="D209" s="3" t="s">
        <v>24</v>
      </c>
      <c r="E209" s="3" t="s">
        <v>10</v>
      </c>
      <c r="F209" s="3" t="s">
        <v>29</v>
      </c>
      <c r="G209" s="3">
        <v>14451.83</v>
      </c>
      <c r="H209" s="3">
        <v>14813.57</v>
      </c>
      <c r="I209" s="3" t="s">
        <v>37</v>
      </c>
      <c r="J209" s="3">
        <v>7</v>
      </c>
      <c r="K209" s="5">
        <f>actual_vs_target_sales_dataset[[#This Row],[Sales_ Amount]]/actual_vs_target_sales_dataset[[#This Row],[Sales_Target]]</f>
        <v>0.97558049815135717</v>
      </c>
    </row>
    <row r="210" spans="1:11" x14ac:dyDescent="0.3">
      <c r="A210" s="2">
        <v>44770</v>
      </c>
      <c r="B210" s="3" t="s">
        <v>20</v>
      </c>
      <c r="C210" s="3" t="s">
        <v>22</v>
      </c>
      <c r="D210" s="3" t="s">
        <v>15</v>
      </c>
      <c r="E210" s="3" t="s">
        <v>10</v>
      </c>
      <c r="F210" s="3" t="s">
        <v>29</v>
      </c>
      <c r="G210" s="3">
        <v>7694.18</v>
      </c>
      <c r="H210" s="3">
        <v>7736.89</v>
      </c>
      <c r="I210" s="3" t="s">
        <v>37</v>
      </c>
      <c r="J210" s="3">
        <v>7</v>
      </c>
      <c r="K210" s="5">
        <f>actual_vs_target_sales_dataset[[#This Row],[Sales_ Amount]]/actual_vs_target_sales_dataset[[#This Row],[Sales_Target]]</f>
        <v>0.99447969403726821</v>
      </c>
    </row>
    <row r="211" spans="1:11" x14ac:dyDescent="0.3">
      <c r="A211" s="2">
        <v>44771</v>
      </c>
      <c r="B211" s="3" t="s">
        <v>7</v>
      </c>
      <c r="C211" s="3" t="s">
        <v>25</v>
      </c>
      <c r="D211" s="3" t="s">
        <v>24</v>
      </c>
      <c r="E211" s="3" t="s">
        <v>19</v>
      </c>
      <c r="F211" s="3" t="s">
        <v>16</v>
      </c>
      <c r="G211" s="3">
        <v>6845.01</v>
      </c>
      <c r="H211" s="3">
        <v>7383.51</v>
      </c>
      <c r="I211" s="3" t="s">
        <v>37</v>
      </c>
      <c r="J211" s="3">
        <v>7</v>
      </c>
      <c r="K211" s="5">
        <f>actual_vs_target_sales_dataset[[#This Row],[Sales_ Amount]]/actual_vs_target_sales_dataset[[#This Row],[Sales_Target]]</f>
        <v>0.92706720787267849</v>
      </c>
    </row>
    <row r="212" spans="1:11" x14ac:dyDescent="0.3">
      <c r="A212" s="2">
        <v>44772</v>
      </c>
      <c r="B212" s="3" t="s">
        <v>7</v>
      </c>
      <c r="C212" s="3" t="s">
        <v>25</v>
      </c>
      <c r="D212" s="3" t="s">
        <v>18</v>
      </c>
      <c r="E212" s="3" t="s">
        <v>19</v>
      </c>
      <c r="F212" s="3" t="s">
        <v>27</v>
      </c>
      <c r="G212" s="3">
        <v>21533.51</v>
      </c>
      <c r="H212" s="3">
        <v>22084.54</v>
      </c>
      <c r="I212" s="3" t="s">
        <v>37</v>
      </c>
      <c r="J212" s="3">
        <v>7</v>
      </c>
      <c r="K212" s="5">
        <f>actual_vs_target_sales_dataset[[#This Row],[Sales_ Amount]]/actual_vs_target_sales_dataset[[#This Row],[Sales_Target]]</f>
        <v>0.97504906147015047</v>
      </c>
    </row>
    <row r="213" spans="1:11" x14ac:dyDescent="0.3">
      <c r="A213" s="2">
        <v>44773</v>
      </c>
      <c r="B213" s="3" t="s">
        <v>23</v>
      </c>
      <c r="C213" s="3" t="s">
        <v>8</v>
      </c>
      <c r="D213" s="3" t="s">
        <v>15</v>
      </c>
      <c r="E213" s="3" t="s">
        <v>10</v>
      </c>
      <c r="F213" s="3" t="s">
        <v>28</v>
      </c>
      <c r="G213" s="3">
        <v>10274.99</v>
      </c>
      <c r="H213" s="3">
        <v>9502.43</v>
      </c>
      <c r="I213" s="3" t="s">
        <v>37</v>
      </c>
      <c r="J213" s="3">
        <v>7</v>
      </c>
      <c r="K213" s="5">
        <f>actual_vs_target_sales_dataset[[#This Row],[Sales_ Amount]]/actual_vs_target_sales_dataset[[#This Row],[Sales_Target]]</f>
        <v>1.0813013092440564</v>
      </c>
    </row>
    <row r="214" spans="1:11" x14ac:dyDescent="0.3">
      <c r="A214" s="2">
        <v>44774</v>
      </c>
      <c r="B214" s="3" t="s">
        <v>20</v>
      </c>
      <c r="C214" s="3" t="s">
        <v>25</v>
      </c>
      <c r="D214" s="3" t="s">
        <v>18</v>
      </c>
      <c r="E214" s="3" t="s">
        <v>19</v>
      </c>
      <c r="F214" s="3" t="s">
        <v>30</v>
      </c>
      <c r="G214" s="3">
        <v>12662.05</v>
      </c>
      <c r="H214" s="3">
        <v>10869.56</v>
      </c>
      <c r="I214" s="3" t="s">
        <v>38</v>
      </c>
      <c r="J214" s="3">
        <v>8</v>
      </c>
      <c r="K214" s="5">
        <f>actual_vs_target_sales_dataset[[#This Row],[Sales_ Amount]]/actual_vs_target_sales_dataset[[#This Row],[Sales_Target]]</f>
        <v>1.1649091591563965</v>
      </c>
    </row>
    <row r="215" spans="1:11" x14ac:dyDescent="0.3">
      <c r="A215" s="2">
        <v>44775</v>
      </c>
      <c r="B215" s="3" t="s">
        <v>13</v>
      </c>
      <c r="C215" s="3" t="s">
        <v>25</v>
      </c>
      <c r="D215" s="3" t="s">
        <v>18</v>
      </c>
      <c r="E215" s="3" t="s">
        <v>21</v>
      </c>
      <c r="F215" s="3" t="s">
        <v>29</v>
      </c>
      <c r="G215" s="3">
        <v>15987.44</v>
      </c>
      <c r="H215" s="3">
        <v>18159.12</v>
      </c>
      <c r="I215" s="3" t="s">
        <v>38</v>
      </c>
      <c r="J215" s="3">
        <v>8</v>
      </c>
      <c r="K215" s="5">
        <f>actual_vs_target_sales_dataset[[#This Row],[Sales_ Amount]]/actual_vs_target_sales_dataset[[#This Row],[Sales_Target]]</f>
        <v>0.88040830172387219</v>
      </c>
    </row>
    <row r="216" spans="1:11" x14ac:dyDescent="0.3">
      <c r="A216" s="2">
        <v>44776</v>
      </c>
      <c r="B216" s="3" t="s">
        <v>7</v>
      </c>
      <c r="C216" s="3" t="s">
        <v>14</v>
      </c>
      <c r="D216" s="3" t="s">
        <v>15</v>
      </c>
      <c r="E216" s="3" t="s">
        <v>10</v>
      </c>
      <c r="F216" s="3" t="s">
        <v>28</v>
      </c>
      <c r="G216" s="3">
        <v>7246.55</v>
      </c>
      <c r="H216" s="3">
        <v>8218.3799999999992</v>
      </c>
      <c r="I216" s="3" t="s">
        <v>38</v>
      </c>
      <c r="J216" s="3">
        <v>8</v>
      </c>
      <c r="K216" s="5">
        <f>actual_vs_target_sales_dataset[[#This Row],[Sales_ Amount]]/actual_vs_target_sales_dataset[[#This Row],[Sales_Target]]</f>
        <v>0.88174920118076805</v>
      </c>
    </row>
    <row r="217" spans="1:11" x14ac:dyDescent="0.3">
      <c r="A217" s="2">
        <v>44777</v>
      </c>
      <c r="B217" s="3" t="s">
        <v>7</v>
      </c>
      <c r="C217" s="3" t="s">
        <v>14</v>
      </c>
      <c r="D217" s="3" t="s">
        <v>9</v>
      </c>
      <c r="E217" s="3" t="s">
        <v>21</v>
      </c>
      <c r="F217" s="3" t="s">
        <v>29</v>
      </c>
      <c r="G217" s="3">
        <v>-1775.81</v>
      </c>
      <c r="H217" s="3">
        <v>-1687.87</v>
      </c>
      <c r="I217" s="3" t="s">
        <v>38</v>
      </c>
      <c r="J217" s="3">
        <v>8</v>
      </c>
      <c r="K217" s="5">
        <f>actual_vs_target_sales_dataset[[#This Row],[Sales_ Amount]]/actual_vs_target_sales_dataset[[#This Row],[Sales_Target]]</f>
        <v>1.0521011689288868</v>
      </c>
    </row>
    <row r="218" spans="1:11" x14ac:dyDescent="0.3">
      <c r="A218" s="2">
        <v>44778</v>
      </c>
      <c r="B218" s="3" t="s">
        <v>20</v>
      </c>
      <c r="C218" s="3" t="s">
        <v>22</v>
      </c>
      <c r="D218" s="3" t="s">
        <v>18</v>
      </c>
      <c r="E218" s="3" t="s">
        <v>19</v>
      </c>
      <c r="F218" s="3" t="s">
        <v>26</v>
      </c>
      <c r="G218" s="3">
        <v>2020.56</v>
      </c>
      <c r="H218" s="3">
        <v>2055.88</v>
      </c>
      <c r="I218" s="3" t="s">
        <v>38</v>
      </c>
      <c r="J218" s="3">
        <v>8</v>
      </c>
      <c r="K218" s="5">
        <f>actual_vs_target_sales_dataset[[#This Row],[Sales_ Amount]]/actual_vs_target_sales_dataset[[#This Row],[Sales_Target]]</f>
        <v>0.98282000894993859</v>
      </c>
    </row>
    <row r="219" spans="1:11" x14ac:dyDescent="0.3">
      <c r="A219" s="2">
        <v>44779</v>
      </c>
      <c r="B219" s="3" t="s">
        <v>23</v>
      </c>
      <c r="C219" s="3" t="s">
        <v>25</v>
      </c>
      <c r="D219" s="3" t="s">
        <v>9</v>
      </c>
      <c r="E219" s="3" t="s">
        <v>19</v>
      </c>
      <c r="F219" s="3" t="s">
        <v>31</v>
      </c>
      <c r="G219" s="3">
        <v>-26.88</v>
      </c>
      <c r="H219" s="3">
        <v>-25.74</v>
      </c>
      <c r="I219" s="3" t="s">
        <v>38</v>
      </c>
      <c r="J219" s="3">
        <v>8</v>
      </c>
      <c r="K219" s="5">
        <f>actual_vs_target_sales_dataset[[#This Row],[Sales_ Amount]]/actual_vs_target_sales_dataset[[#This Row],[Sales_Target]]</f>
        <v>1.0442890442890442</v>
      </c>
    </row>
    <row r="220" spans="1:11" x14ac:dyDescent="0.3">
      <c r="A220" s="2">
        <v>44780</v>
      </c>
      <c r="B220" s="3" t="s">
        <v>20</v>
      </c>
      <c r="C220" s="3" t="s">
        <v>25</v>
      </c>
      <c r="D220" s="3" t="s">
        <v>18</v>
      </c>
      <c r="E220" s="3" t="s">
        <v>19</v>
      </c>
      <c r="F220" s="3" t="s">
        <v>27</v>
      </c>
      <c r="G220" s="3">
        <v>-2591.3200000000002</v>
      </c>
      <c r="H220" s="3">
        <v>-2601.19</v>
      </c>
      <c r="I220" s="3" t="s">
        <v>38</v>
      </c>
      <c r="J220" s="3">
        <v>8</v>
      </c>
      <c r="K220" s="5">
        <f>actual_vs_target_sales_dataset[[#This Row],[Sales_ Amount]]/actual_vs_target_sales_dataset[[#This Row],[Sales_Target]]</f>
        <v>0.99620558282939731</v>
      </c>
    </row>
    <row r="221" spans="1:11" x14ac:dyDescent="0.3">
      <c r="A221" s="2">
        <v>44781</v>
      </c>
      <c r="B221" s="3" t="s">
        <v>7</v>
      </c>
      <c r="C221" s="3" t="s">
        <v>22</v>
      </c>
      <c r="D221" s="3" t="s">
        <v>9</v>
      </c>
      <c r="E221" s="3" t="s">
        <v>10</v>
      </c>
      <c r="F221" s="3" t="s">
        <v>26</v>
      </c>
      <c r="G221" s="3">
        <v>13461.37</v>
      </c>
      <c r="H221" s="3">
        <v>15616.49</v>
      </c>
      <c r="I221" s="3" t="s">
        <v>38</v>
      </c>
      <c r="J221" s="3">
        <v>8</v>
      </c>
      <c r="K221" s="5">
        <f>actual_vs_target_sales_dataset[[#This Row],[Sales_ Amount]]/actual_vs_target_sales_dataset[[#This Row],[Sales_Target]]</f>
        <v>0.86199715813220523</v>
      </c>
    </row>
    <row r="222" spans="1:11" x14ac:dyDescent="0.3">
      <c r="A222" s="2">
        <v>44782</v>
      </c>
      <c r="B222" s="3" t="s">
        <v>20</v>
      </c>
      <c r="C222" s="3" t="s">
        <v>14</v>
      </c>
      <c r="D222" s="3" t="s">
        <v>15</v>
      </c>
      <c r="E222" s="3" t="s">
        <v>10</v>
      </c>
      <c r="F222" s="3" t="s">
        <v>29</v>
      </c>
      <c r="G222" s="3">
        <v>-7656.07</v>
      </c>
      <c r="H222" s="3">
        <v>-6343.45</v>
      </c>
      <c r="I222" s="3" t="s">
        <v>38</v>
      </c>
      <c r="J222" s="3">
        <v>8</v>
      </c>
      <c r="K222" s="5">
        <f>actual_vs_target_sales_dataset[[#This Row],[Sales_ Amount]]/actual_vs_target_sales_dataset[[#This Row],[Sales_Target]]</f>
        <v>1.2069252536080524</v>
      </c>
    </row>
    <row r="223" spans="1:11" x14ac:dyDescent="0.3">
      <c r="A223" s="2">
        <v>44783</v>
      </c>
      <c r="B223" s="3" t="s">
        <v>17</v>
      </c>
      <c r="C223" s="3" t="s">
        <v>22</v>
      </c>
      <c r="D223" s="3" t="s">
        <v>9</v>
      </c>
      <c r="E223" s="3" t="s">
        <v>21</v>
      </c>
      <c r="F223" s="3" t="s">
        <v>16</v>
      </c>
      <c r="G223" s="3">
        <v>706.02</v>
      </c>
      <c r="H223" s="3">
        <v>799.85</v>
      </c>
      <c r="I223" s="3" t="s">
        <v>38</v>
      </c>
      <c r="J223" s="3">
        <v>8</v>
      </c>
      <c r="K223" s="5">
        <f>actual_vs_target_sales_dataset[[#This Row],[Sales_ Amount]]/actual_vs_target_sales_dataset[[#This Row],[Sales_Target]]</f>
        <v>0.88269050446958797</v>
      </c>
    </row>
    <row r="224" spans="1:11" x14ac:dyDescent="0.3">
      <c r="A224" s="2">
        <v>44784</v>
      </c>
      <c r="B224" s="3" t="s">
        <v>7</v>
      </c>
      <c r="C224" s="3" t="s">
        <v>14</v>
      </c>
      <c r="D224" s="3" t="s">
        <v>18</v>
      </c>
      <c r="E224" s="3" t="s">
        <v>21</v>
      </c>
      <c r="F224" s="3" t="s">
        <v>16</v>
      </c>
      <c r="G224" s="3">
        <v>4837.97</v>
      </c>
      <c r="H224" s="3">
        <v>5448.42</v>
      </c>
      <c r="I224" s="3" t="s">
        <v>38</v>
      </c>
      <c r="J224" s="3">
        <v>8</v>
      </c>
      <c r="K224" s="5">
        <f>actual_vs_target_sales_dataset[[#This Row],[Sales_ Amount]]/actual_vs_target_sales_dataset[[#This Row],[Sales_Target]]</f>
        <v>0.88795834388685169</v>
      </c>
    </row>
    <row r="225" spans="1:11" x14ac:dyDescent="0.3">
      <c r="A225" s="2">
        <v>44785</v>
      </c>
      <c r="B225" s="3" t="s">
        <v>20</v>
      </c>
      <c r="C225" s="3" t="s">
        <v>22</v>
      </c>
      <c r="D225" s="3" t="s">
        <v>15</v>
      </c>
      <c r="E225" s="3" t="s">
        <v>10</v>
      </c>
      <c r="F225" s="3" t="s">
        <v>16</v>
      </c>
      <c r="G225" s="3">
        <v>5195.3500000000004</v>
      </c>
      <c r="H225" s="3">
        <v>4950.47</v>
      </c>
      <c r="I225" s="3" t="s">
        <v>38</v>
      </c>
      <c r="J225" s="3">
        <v>8</v>
      </c>
      <c r="K225" s="5">
        <f>actual_vs_target_sales_dataset[[#This Row],[Sales_ Amount]]/actual_vs_target_sales_dataset[[#This Row],[Sales_Target]]</f>
        <v>1.0494660102980122</v>
      </c>
    </row>
    <row r="226" spans="1:11" x14ac:dyDescent="0.3">
      <c r="A226" s="2">
        <v>44786</v>
      </c>
      <c r="B226" s="3" t="s">
        <v>20</v>
      </c>
      <c r="C226" s="3" t="s">
        <v>22</v>
      </c>
      <c r="D226" s="3" t="s">
        <v>18</v>
      </c>
      <c r="E226" s="3" t="s">
        <v>19</v>
      </c>
      <c r="F226" s="3" t="s">
        <v>26</v>
      </c>
      <c r="G226" s="3">
        <v>-939.75</v>
      </c>
      <c r="H226" s="3">
        <v>-926.97</v>
      </c>
      <c r="I226" s="3" t="s">
        <v>38</v>
      </c>
      <c r="J226" s="3">
        <v>8</v>
      </c>
      <c r="K226" s="5">
        <f>actual_vs_target_sales_dataset[[#This Row],[Sales_ Amount]]/actual_vs_target_sales_dataset[[#This Row],[Sales_Target]]</f>
        <v>1.0137868539434933</v>
      </c>
    </row>
    <row r="227" spans="1:11" x14ac:dyDescent="0.3">
      <c r="A227" s="2">
        <v>44787</v>
      </c>
      <c r="B227" s="3" t="s">
        <v>20</v>
      </c>
      <c r="C227" s="3" t="s">
        <v>8</v>
      </c>
      <c r="D227" s="3" t="s">
        <v>18</v>
      </c>
      <c r="E227" s="3" t="s">
        <v>10</v>
      </c>
      <c r="F227" s="3" t="s">
        <v>26</v>
      </c>
      <c r="G227" s="3">
        <v>4818.45</v>
      </c>
      <c r="H227" s="3">
        <v>4918.26</v>
      </c>
      <c r="I227" s="3" t="s">
        <v>38</v>
      </c>
      <c r="J227" s="3">
        <v>8</v>
      </c>
      <c r="K227" s="5">
        <f>actual_vs_target_sales_dataset[[#This Row],[Sales_ Amount]]/actual_vs_target_sales_dataset[[#This Row],[Sales_Target]]</f>
        <v>0.97970623757182407</v>
      </c>
    </row>
    <row r="228" spans="1:11" x14ac:dyDescent="0.3">
      <c r="A228" s="2">
        <v>44788</v>
      </c>
      <c r="B228" s="3" t="s">
        <v>7</v>
      </c>
      <c r="C228" s="3" t="s">
        <v>22</v>
      </c>
      <c r="D228" s="3" t="s">
        <v>9</v>
      </c>
      <c r="E228" s="3" t="s">
        <v>21</v>
      </c>
      <c r="F228" s="3" t="s">
        <v>29</v>
      </c>
      <c r="G228" s="3">
        <v>7464.19</v>
      </c>
      <c r="H228" s="3">
        <v>7662.4</v>
      </c>
      <c r="I228" s="3" t="s">
        <v>38</v>
      </c>
      <c r="J228" s="3">
        <v>8</v>
      </c>
      <c r="K228" s="5">
        <f>actual_vs_target_sales_dataset[[#This Row],[Sales_ Amount]]/actual_vs_target_sales_dataset[[#This Row],[Sales_Target]]</f>
        <v>0.97413212570474006</v>
      </c>
    </row>
    <row r="229" spans="1:11" x14ac:dyDescent="0.3">
      <c r="A229" s="2">
        <v>44789</v>
      </c>
      <c r="B229" s="3" t="s">
        <v>20</v>
      </c>
      <c r="C229" s="3" t="s">
        <v>14</v>
      </c>
      <c r="D229" s="3" t="s">
        <v>9</v>
      </c>
      <c r="E229" s="3" t="s">
        <v>10</v>
      </c>
      <c r="F229" s="3" t="s">
        <v>11</v>
      </c>
      <c r="G229" s="3">
        <v>1911.63</v>
      </c>
      <c r="H229" s="3">
        <v>1946</v>
      </c>
      <c r="I229" s="3" t="s">
        <v>38</v>
      </c>
      <c r="J229" s="3">
        <v>8</v>
      </c>
      <c r="K229" s="5">
        <f>actual_vs_target_sales_dataset[[#This Row],[Sales_ Amount]]/actual_vs_target_sales_dataset[[#This Row],[Sales_Target]]</f>
        <v>0.98233812949640298</v>
      </c>
    </row>
    <row r="230" spans="1:11" x14ac:dyDescent="0.3">
      <c r="A230" s="2">
        <v>44790</v>
      </c>
      <c r="B230" s="3" t="s">
        <v>17</v>
      </c>
      <c r="C230" s="3" t="s">
        <v>25</v>
      </c>
      <c r="D230" s="3" t="s">
        <v>15</v>
      </c>
      <c r="E230" s="3" t="s">
        <v>10</v>
      </c>
      <c r="F230" s="3" t="s">
        <v>16</v>
      </c>
      <c r="G230" s="3">
        <v>17764.52</v>
      </c>
      <c r="H230" s="3">
        <v>15162.87</v>
      </c>
      <c r="I230" s="3" t="s">
        <v>38</v>
      </c>
      <c r="J230" s="3">
        <v>8</v>
      </c>
      <c r="K230" s="5">
        <f>actual_vs_target_sales_dataset[[#This Row],[Sales_ Amount]]/actual_vs_target_sales_dataset[[#This Row],[Sales_Target]]</f>
        <v>1.1715803142808716</v>
      </c>
    </row>
    <row r="231" spans="1:11" x14ac:dyDescent="0.3">
      <c r="A231" s="2">
        <v>44791</v>
      </c>
      <c r="B231" s="3" t="s">
        <v>20</v>
      </c>
      <c r="C231" s="3" t="s">
        <v>8</v>
      </c>
      <c r="D231" s="3" t="s">
        <v>18</v>
      </c>
      <c r="E231" s="3" t="s">
        <v>19</v>
      </c>
      <c r="F231" s="3" t="s">
        <v>26</v>
      </c>
      <c r="G231" s="3">
        <v>-3905.36</v>
      </c>
      <c r="H231" s="3">
        <v>-3955.56</v>
      </c>
      <c r="I231" s="3" t="s">
        <v>38</v>
      </c>
      <c r="J231" s="3">
        <v>8</v>
      </c>
      <c r="K231" s="5">
        <f>actual_vs_target_sales_dataset[[#This Row],[Sales_ Amount]]/actual_vs_target_sales_dataset[[#This Row],[Sales_Target]]</f>
        <v>0.98730900302359215</v>
      </c>
    </row>
    <row r="232" spans="1:11" x14ac:dyDescent="0.3">
      <c r="A232" s="2">
        <v>44792</v>
      </c>
      <c r="B232" s="3" t="s">
        <v>20</v>
      </c>
      <c r="C232" s="3" t="s">
        <v>14</v>
      </c>
      <c r="D232" s="3" t="s">
        <v>18</v>
      </c>
      <c r="E232" s="3" t="s">
        <v>21</v>
      </c>
      <c r="F232" s="3" t="s">
        <v>29</v>
      </c>
      <c r="G232" s="3">
        <v>13643.83</v>
      </c>
      <c r="H232" s="3">
        <v>15765.95</v>
      </c>
      <c r="I232" s="3" t="s">
        <v>38</v>
      </c>
      <c r="J232" s="3">
        <v>8</v>
      </c>
      <c r="K232" s="5">
        <f>actual_vs_target_sales_dataset[[#This Row],[Sales_ Amount]]/actual_vs_target_sales_dataset[[#This Row],[Sales_Target]]</f>
        <v>0.86539853291428681</v>
      </c>
    </row>
    <row r="233" spans="1:11" x14ac:dyDescent="0.3">
      <c r="A233" s="2">
        <v>44793</v>
      </c>
      <c r="B233" s="3" t="s">
        <v>17</v>
      </c>
      <c r="C233" s="3" t="s">
        <v>14</v>
      </c>
      <c r="D233" s="3" t="s">
        <v>18</v>
      </c>
      <c r="E233" s="3" t="s">
        <v>19</v>
      </c>
      <c r="F233" s="3" t="s">
        <v>16</v>
      </c>
      <c r="G233" s="3">
        <v>2405.42</v>
      </c>
      <c r="H233" s="3">
        <v>2390.58</v>
      </c>
      <c r="I233" s="3" t="s">
        <v>38</v>
      </c>
      <c r="J233" s="3">
        <v>8</v>
      </c>
      <c r="K233" s="5">
        <f>actual_vs_target_sales_dataset[[#This Row],[Sales_ Amount]]/actual_vs_target_sales_dataset[[#This Row],[Sales_Target]]</f>
        <v>1.0062076985501427</v>
      </c>
    </row>
    <row r="234" spans="1:11" x14ac:dyDescent="0.3">
      <c r="A234" s="2">
        <v>44794</v>
      </c>
      <c r="B234" s="3" t="s">
        <v>13</v>
      </c>
      <c r="C234" s="3" t="s">
        <v>8</v>
      </c>
      <c r="D234" s="3" t="s">
        <v>9</v>
      </c>
      <c r="E234" s="3" t="s">
        <v>21</v>
      </c>
      <c r="F234" s="3" t="s">
        <v>16</v>
      </c>
      <c r="G234" s="3">
        <v>8052.93</v>
      </c>
      <c r="H234" s="3">
        <v>7957.63</v>
      </c>
      <c r="I234" s="3" t="s">
        <v>38</v>
      </c>
      <c r="J234" s="3">
        <v>8</v>
      </c>
      <c r="K234" s="5">
        <f>actual_vs_target_sales_dataset[[#This Row],[Sales_ Amount]]/actual_vs_target_sales_dataset[[#This Row],[Sales_Target]]</f>
        <v>1.011975927506054</v>
      </c>
    </row>
    <row r="235" spans="1:11" x14ac:dyDescent="0.3">
      <c r="A235" s="2">
        <v>44795</v>
      </c>
      <c r="B235" s="3" t="s">
        <v>23</v>
      </c>
      <c r="C235" s="3" t="s">
        <v>25</v>
      </c>
      <c r="D235" s="3" t="s">
        <v>15</v>
      </c>
      <c r="E235" s="3" t="s">
        <v>21</v>
      </c>
      <c r="F235" s="3" t="s">
        <v>27</v>
      </c>
      <c r="G235" s="3">
        <v>7600.51</v>
      </c>
      <c r="H235" s="3">
        <v>7486.63</v>
      </c>
      <c r="I235" s="3" t="s">
        <v>38</v>
      </c>
      <c r="J235" s="3">
        <v>8</v>
      </c>
      <c r="K235" s="5">
        <f>actual_vs_target_sales_dataset[[#This Row],[Sales_ Amount]]/actual_vs_target_sales_dataset[[#This Row],[Sales_Target]]</f>
        <v>1.0152111163500801</v>
      </c>
    </row>
    <row r="236" spans="1:11" x14ac:dyDescent="0.3">
      <c r="A236" s="2">
        <v>44796</v>
      </c>
      <c r="B236" s="3" t="s">
        <v>7</v>
      </c>
      <c r="C236" s="3" t="s">
        <v>25</v>
      </c>
      <c r="D236" s="3" t="s">
        <v>9</v>
      </c>
      <c r="E236" s="3" t="s">
        <v>19</v>
      </c>
      <c r="F236" s="3" t="s">
        <v>11</v>
      </c>
      <c r="G236" s="3">
        <v>2457.81</v>
      </c>
      <c r="H236" s="3">
        <v>2489.56</v>
      </c>
      <c r="I236" s="3" t="s">
        <v>38</v>
      </c>
      <c r="J236" s="3">
        <v>8</v>
      </c>
      <c r="K236" s="5">
        <f>actual_vs_target_sales_dataset[[#This Row],[Sales_ Amount]]/actual_vs_target_sales_dataset[[#This Row],[Sales_Target]]</f>
        <v>0.98724674239624677</v>
      </c>
    </row>
    <row r="237" spans="1:11" x14ac:dyDescent="0.3">
      <c r="A237" s="2">
        <v>44797</v>
      </c>
      <c r="B237" s="3" t="s">
        <v>13</v>
      </c>
      <c r="C237" s="3" t="s">
        <v>22</v>
      </c>
      <c r="D237" s="3" t="s">
        <v>9</v>
      </c>
      <c r="E237" s="3" t="s">
        <v>10</v>
      </c>
      <c r="F237" s="3" t="s">
        <v>16</v>
      </c>
      <c r="G237" s="3">
        <v>8215.82</v>
      </c>
      <c r="H237" s="3">
        <v>8110.89</v>
      </c>
      <c r="I237" s="3" t="s">
        <v>38</v>
      </c>
      <c r="J237" s="3">
        <v>8</v>
      </c>
      <c r="K237" s="5">
        <f>actual_vs_target_sales_dataset[[#This Row],[Sales_ Amount]]/actual_vs_target_sales_dataset[[#This Row],[Sales_Target]]</f>
        <v>1.0129369280066676</v>
      </c>
    </row>
    <row r="238" spans="1:11" x14ac:dyDescent="0.3">
      <c r="A238" s="2">
        <v>44798</v>
      </c>
      <c r="B238" s="3" t="s">
        <v>23</v>
      </c>
      <c r="C238" s="3" t="s">
        <v>14</v>
      </c>
      <c r="D238" s="3" t="s">
        <v>24</v>
      </c>
      <c r="E238" s="3" t="s">
        <v>21</v>
      </c>
      <c r="F238" s="3" t="s">
        <v>11</v>
      </c>
      <c r="G238" s="3">
        <v>8074.08</v>
      </c>
      <c r="H238" s="3">
        <v>7316.01</v>
      </c>
      <c r="I238" s="3" t="s">
        <v>38</v>
      </c>
      <c r="J238" s="3">
        <v>8</v>
      </c>
      <c r="K238" s="5">
        <f>actual_vs_target_sales_dataset[[#This Row],[Sales_ Amount]]/actual_vs_target_sales_dataset[[#This Row],[Sales_Target]]</f>
        <v>1.1036179556889616</v>
      </c>
    </row>
    <row r="239" spans="1:11" x14ac:dyDescent="0.3">
      <c r="A239" s="2">
        <v>44799</v>
      </c>
      <c r="B239" s="3" t="s">
        <v>23</v>
      </c>
      <c r="C239" s="3" t="s">
        <v>8</v>
      </c>
      <c r="D239" s="3" t="s">
        <v>15</v>
      </c>
      <c r="E239" s="3" t="s">
        <v>21</v>
      </c>
      <c r="F239" s="3" t="s">
        <v>30</v>
      </c>
      <c r="G239" s="3">
        <v>17643.86</v>
      </c>
      <c r="H239" s="3">
        <v>14978.59</v>
      </c>
      <c r="I239" s="3" t="s">
        <v>38</v>
      </c>
      <c r="J239" s="3">
        <v>8</v>
      </c>
      <c r="K239" s="5">
        <f>actual_vs_target_sales_dataset[[#This Row],[Sales_ Amount]]/actual_vs_target_sales_dataset[[#This Row],[Sales_Target]]</f>
        <v>1.177938644425143</v>
      </c>
    </row>
    <row r="240" spans="1:11" x14ac:dyDescent="0.3">
      <c r="A240" s="2">
        <v>44800</v>
      </c>
      <c r="B240" s="3" t="s">
        <v>17</v>
      </c>
      <c r="C240" s="3" t="s">
        <v>14</v>
      </c>
      <c r="D240" s="3" t="s">
        <v>9</v>
      </c>
      <c r="E240" s="3" t="s">
        <v>10</v>
      </c>
      <c r="F240" s="3" t="s">
        <v>11</v>
      </c>
      <c r="G240" s="3">
        <v>8097.61</v>
      </c>
      <c r="H240" s="3">
        <v>8771.6200000000008</v>
      </c>
      <c r="I240" s="3" t="s">
        <v>38</v>
      </c>
      <c r="J240" s="3">
        <v>8</v>
      </c>
      <c r="K240" s="5">
        <f>actual_vs_target_sales_dataset[[#This Row],[Sales_ Amount]]/actual_vs_target_sales_dataset[[#This Row],[Sales_Target]]</f>
        <v>0.92316014601635721</v>
      </c>
    </row>
    <row r="241" spans="1:11" x14ac:dyDescent="0.3">
      <c r="A241" s="2">
        <v>44801</v>
      </c>
      <c r="B241" s="3" t="s">
        <v>20</v>
      </c>
      <c r="C241" s="3" t="s">
        <v>14</v>
      </c>
      <c r="D241" s="3" t="s">
        <v>24</v>
      </c>
      <c r="E241" s="3" t="s">
        <v>21</v>
      </c>
      <c r="F241" s="3" t="s">
        <v>26</v>
      </c>
      <c r="G241" s="3">
        <v>10175.709999999999</v>
      </c>
      <c r="H241" s="3">
        <v>10072.290000000001</v>
      </c>
      <c r="I241" s="3" t="s">
        <v>38</v>
      </c>
      <c r="J241" s="3">
        <v>8</v>
      </c>
      <c r="K241" s="5">
        <f>actual_vs_target_sales_dataset[[#This Row],[Sales_ Amount]]/actual_vs_target_sales_dataset[[#This Row],[Sales_Target]]</f>
        <v>1.0102677742598751</v>
      </c>
    </row>
    <row r="242" spans="1:11" x14ac:dyDescent="0.3">
      <c r="A242" s="2">
        <v>44802</v>
      </c>
      <c r="B242" s="3" t="s">
        <v>13</v>
      </c>
      <c r="C242" s="3" t="s">
        <v>25</v>
      </c>
      <c r="D242" s="3" t="s">
        <v>18</v>
      </c>
      <c r="E242" s="3" t="s">
        <v>10</v>
      </c>
      <c r="F242" s="3" t="s">
        <v>27</v>
      </c>
      <c r="G242" s="3">
        <v>17992.38</v>
      </c>
      <c r="H242" s="3">
        <v>16432.71</v>
      </c>
      <c r="I242" s="3" t="s">
        <v>38</v>
      </c>
      <c r="J242" s="3">
        <v>8</v>
      </c>
      <c r="K242" s="5">
        <f>actual_vs_target_sales_dataset[[#This Row],[Sales_ Amount]]/actual_vs_target_sales_dataset[[#This Row],[Sales_Target]]</f>
        <v>1.0949125250795517</v>
      </c>
    </row>
    <row r="243" spans="1:11" x14ac:dyDescent="0.3">
      <c r="A243" s="2">
        <v>44803</v>
      </c>
      <c r="B243" s="3" t="s">
        <v>7</v>
      </c>
      <c r="C243" s="3" t="s">
        <v>25</v>
      </c>
      <c r="D243" s="3" t="s">
        <v>9</v>
      </c>
      <c r="E243" s="3" t="s">
        <v>21</v>
      </c>
      <c r="F243" s="3" t="s">
        <v>11</v>
      </c>
      <c r="G243" s="3">
        <v>11788.98</v>
      </c>
      <c r="H243" s="3">
        <v>12083.26</v>
      </c>
      <c r="I243" s="3" t="s">
        <v>38</v>
      </c>
      <c r="J243" s="3">
        <v>8</v>
      </c>
      <c r="K243" s="5">
        <f>actual_vs_target_sales_dataset[[#This Row],[Sales_ Amount]]/actual_vs_target_sales_dataset[[#This Row],[Sales_Target]]</f>
        <v>0.97564564529770936</v>
      </c>
    </row>
    <row r="244" spans="1:11" x14ac:dyDescent="0.3">
      <c r="A244" s="2">
        <v>44804</v>
      </c>
      <c r="B244" s="3" t="s">
        <v>7</v>
      </c>
      <c r="C244" s="3" t="s">
        <v>14</v>
      </c>
      <c r="D244" s="3" t="s">
        <v>24</v>
      </c>
      <c r="E244" s="3" t="s">
        <v>19</v>
      </c>
      <c r="F244" s="3" t="s">
        <v>26</v>
      </c>
      <c r="G244" s="3">
        <v>23019.77</v>
      </c>
      <c r="H244" s="3">
        <v>25647.65</v>
      </c>
      <c r="I244" s="3" t="s">
        <v>38</v>
      </c>
      <c r="J244" s="3">
        <v>8</v>
      </c>
      <c r="K244" s="5">
        <f>actual_vs_target_sales_dataset[[#This Row],[Sales_ Amount]]/actual_vs_target_sales_dataset[[#This Row],[Sales_Target]]</f>
        <v>0.89753915076040103</v>
      </c>
    </row>
    <row r="245" spans="1:11" x14ac:dyDescent="0.3">
      <c r="A245" s="2">
        <v>44805</v>
      </c>
      <c r="B245" s="3" t="s">
        <v>13</v>
      </c>
      <c r="C245" s="3" t="s">
        <v>8</v>
      </c>
      <c r="D245" s="3" t="s">
        <v>15</v>
      </c>
      <c r="E245" s="3" t="s">
        <v>10</v>
      </c>
      <c r="F245" s="3" t="s">
        <v>28</v>
      </c>
      <c r="G245" s="3">
        <v>2985.76</v>
      </c>
      <c r="H245" s="3">
        <v>2938.76</v>
      </c>
      <c r="I245" s="3" t="s">
        <v>39</v>
      </c>
      <c r="J245" s="3">
        <v>9</v>
      </c>
      <c r="K245" s="5">
        <f>actual_vs_target_sales_dataset[[#This Row],[Sales_ Amount]]/actual_vs_target_sales_dataset[[#This Row],[Sales_Target]]</f>
        <v>1.0159931399637943</v>
      </c>
    </row>
    <row r="246" spans="1:11" x14ac:dyDescent="0.3">
      <c r="A246" s="2">
        <v>44806</v>
      </c>
      <c r="B246" s="3" t="s">
        <v>20</v>
      </c>
      <c r="C246" s="3" t="s">
        <v>22</v>
      </c>
      <c r="D246" s="3" t="s">
        <v>24</v>
      </c>
      <c r="E246" s="3" t="s">
        <v>10</v>
      </c>
      <c r="F246" s="3" t="s">
        <v>16</v>
      </c>
      <c r="G246" s="3">
        <v>-3557.61</v>
      </c>
      <c r="H246" s="3">
        <v>-3760.44</v>
      </c>
      <c r="I246" s="3" t="s">
        <v>39</v>
      </c>
      <c r="J246" s="3">
        <v>9</v>
      </c>
      <c r="K246" s="5">
        <f>actual_vs_target_sales_dataset[[#This Row],[Sales_ Amount]]/actual_vs_target_sales_dataset[[#This Row],[Sales_Target]]</f>
        <v>0.94606216293837953</v>
      </c>
    </row>
    <row r="247" spans="1:11" x14ac:dyDescent="0.3">
      <c r="A247" s="2">
        <v>44807</v>
      </c>
      <c r="B247" s="3" t="s">
        <v>17</v>
      </c>
      <c r="C247" s="3" t="s">
        <v>8</v>
      </c>
      <c r="D247" s="3" t="s">
        <v>24</v>
      </c>
      <c r="E247" s="3" t="s">
        <v>19</v>
      </c>
      <c r="F247" s="3" t="s">
        <v>26</v>
      </c>
      <c r="G247" s="3">
        <v>5026.59</v>
      </c>
      <c r="H247" s="3">
        <v>5529.7</v>
      </c>
      <c r="I247" s="3" t="s">
        <v>39</v>
      </c>
      <c r="J247" s="3">
        <v>9</v>
      </c>
      <c r="K247" s="5">
        <f>actual_vs_target_sales_dataset[[#This Row],[Sales_ Amount]]/actual_vs_target_sales_dataset[[#This Row],[Sales_Target]]</f>
        <v>0.90901676401974796</v>
      </c>
    </row>
    <row r="248" spans="1:11" x14ac:dyDescent="0.3">
      <c r="A248" s="2">
        <v>44808</v>
      </c>
      <c r="B248" s="3" t="s">
        <v>7</v>
      </c>
      <c r="C248" s="3" t="s">
        <v>8</v>
      </c>
      <c r="D248" s="3" t="s">
        <v>15</v>
      </c>
      <c r="E248" s="3" t="s">
        <v>19</v>
      </c>
      <c r="F248" s="3" t="s">
        <v>31</v>
      </c>
      <c r="G248" s="3">
        <v>10048.58</v>
      </c>
      <c r="H248" s="3">
        <v>10379.26</v>
      </c>
      <c r="I248" s="3" t="s">
        <v>39</v>
      </c>
      <c r="J248" s="3">
        <v>9</v>
      </c>
      <c r="K248" s="5">
        <f>actual_vs_target_sales_dataset[[#This Row],[Sales_ Amount]]/actual_vs_target_sales_dataset[[#This Row],[Sales_Target]]</f>
        <v>0.96814031058090844</v>
      </c>
    </row>
    <row r="249" spans="1:11" x14ac:dyDescent="0.3">
      <c r="A249" s="2">
        <v>44809</v>
      </c>
      <c r="B249" s="3" t="s">
        <v>23</v>
      </c>
      <c r="C249" s="3" t="s">
        <v>22</v>
      </c>
      <c r="D249" s="3" t="s">
        <v>9</v>
      </c>
      <c r="E249" s="3" t="s">
        <v>19</v>
      </c>
      <c r="F249" s="3" t="s">
        <v>26</v>
      </c>
      <c r="G249" s="3">
        <v>13580.9</v>
      </c>
      <c r="H249" s="3">
        <v>13698.01</v>
      </c>
      <c r="I249" s="3" t="s">
        <v>39</v>
      </c>
      <c r="J249" s="3">
        <v>9</v>
      </c>
      <c r="K249" s="5">
        <f>actual_vs_target_sales_dataset[[#This Row],[Sales_ Amount]]/actual_vs_target_sales_dataset[[#This Row],[Sales_Target]]</f>
        <v>0.9914505829678909</v>
      </c>
    </row>
    <row r="250" spans="1:11" x14ac:dyDescent="0.3">
      <c r="A250" s="2">
        <v>44810</v>
      </c>
      <c r="B250" s="3" t="s">
        <v>17</v>
      </c>
      <c r="C250" s="3" t="s">
        <v>8</v>
      </c>
      <c r="D250" s="3" t="s">
        <v>18</v>
      </c>
      <c r="E250" s="3" t="s">
        <v>10</v>
      </c>
      <c r="F250" s="3" t="s">
        <v>11</v>
      </c>
      <c r="G250" s="3">
        <v>2085.59</v>
      </c>
      <c r="H250" s="3">
        <v>2351.69</v>
      </c>
      <c r="I250" s="3" t="s">
        <v>39</v>
      </c>
      <c r="J250" s="3">
        <v>9</v>
      </c>
      <c r="K250" s="5">
        <f>actual_vs_target_sales_dataset[[#This Row],[Sales_ Amount]]/actual_vs_target_sales_dataset[[#This Row],[Sales_Target]]</f>
        <v>0.88684733106829561</v>
      </c>
    </row>
    <row r="251" spans="1:11" x14ac:dyDescent="0.3">
      <c r="A251" s="2">
        <v>44811</v>
      </c>
      <c r="B251" s="3" t="s">
        <v>13</v>
      </c>
      <c r="C251" s="3" t="s">
        <v>14</v>
      </c>
      <c r="D251" s="3" t="s">
        <v>9</v>
      </c>
      <c r="E251" s="3" t="s">
        <v>21</v>
      </c>
      <c r="F251" s="3" t="s">
        <v>16</v>
      </c>
      <c r="G251" s="3">
        <v>-444.98</v>
      </c>
      <c r="H251" s="3">
        <v>-499.25</v>
      </c>
      <c r="I251" s="3" t="s">
        <v>39</v>
      </c>
      <c r="J251" s="3">
        <v>9</v>
      </c>
      <c r="K251" s="5">
        <f>actual_vs_target_sales_dataset[[#This Row],[Sales_ Amount]]/actual_vs_target_sales_dataset[[#This Row],[Sales_Target]]</f>
        <v>0.89129694541812721</v>
      </c>
    </row>
    <row r="252" spans="1:11" x14ac:dyDescent="0.3">
      <c r="A252" s="2">
        <v>44812</v>
      </c>
      <c r="B252" s="3" t="s">
        <v>17</v>
      </c>
      <c r="C252" s="3" t="s">
        <v>8</v>
      </c>
      <c r="D252" s="3" t="s">
        <v>9</v>
      </c>
      <c r="E252" s="3" t="s">
        <v>21</v>
      </c>
      <c r="F252" s="3" t="s">
        <v>29</v>
      </c>
      <c r="G252" s="3">
        <v>3437.27</v>
      </c>
      <c r="H252" s="3">
        <v>2911.14</v>
      </c>
      <c r="I252" s="3" t="s">
        <v>39</v>
      </c>
      <c r="J252" s="3">
        <v>9</v>
      </c>
      <c r="K252" s="5">
        <f>actual_vs_target_sales_dataset[[#This Row],[Sales_ Amount]]/actual_vs_target_sales_dataset[[#This Row],[Sales_Target]]</f>
        <v>1.1807298858866286</v>
      </c>
    </row>
    <row r="253" spans="1:11" x14ac:dyDescent="0.3">
      <c r="A253" s="2">
        <v>44813</v>
      </c>
      <c r="B253" s="3" t="s">
        <v>23</v>
      </c>
      <c r="C253" s="3" t="s">
        <v>22</v>
      </c>
      <c r="D253" s="3" t="s">
        <v>18</v>
      </c>
      <c r="E253" s="3" t="s">
        <v>19</v>
      </c>
      <c r="F253" s="3" t="s">
        <v>29</v>
      </c>
      <c r="G253" s="3">
        <v>13737.79</v>
      </c>
      <c r="H253" s="3">
        <v>13301.22</v>
      </c>
      <c r="I253" s="3" t="s">
        <v>39</v>
      </c>
      <c r="J253" s="3">
        <v>9</v>
      </c>
      <c r="K253" s="5">
        <f>actual_vs_target_sales_dataset[[#This Row],[Sales_ Amount]]/actual_vs_target_sales_dataset[[#This Row],[Sales_Target]]</f>
        <v>1.0328218013084516</v>
      </c>
    </row>
    <row r="254" spans="1:11" x14ac:dyDescent="0.3">
      <c r="A254" s="2">
        <v>44814</v>
      </c>
      <c r="B254" s="3" t="s">
        <v>20</v>
      </c>
      <c r="C254" s="3" t="s">
        <v>22</v>
      </c>
      <c r="D254" s="3" t="s">
        <v>15</v>
      </c>
      <c r="E254" s="3" t="s">
        <v>21</v>
      </c>
      <c r="F254" s="3" t="s">
        <v>27</v>
      </c>
      <c r="G254" s="3">
        <v>9122.6299999999992</v>
      </c>
      <c r="H254" s="3">
        <v>9711.94</v>
      </c>
      <c r="I254" s="3" t="s">
        <v>39</v>
      </c>
      <c r="J254" s="3">
        <v>9</v>
      </c>
      <c r="K254" s="5">
        <f>actual_vs_target_sales_dataset[[#This Row],[Sales_ Amount]]/actual_vs_target_sales_dataset[[#This Row],[Sales_Target]]</f>
        <v>0.93932108312036511</v>
      </c>
    </row>
    <row r="255" spans="1:11" x14ac:dyDescent="0.3">
      <c r="A255" s="2">
        <v>44815</v>
      </c>
      <c r="B255" s="3" t="s">
        <v>13</v>
      </c>
      <c r="C255" s="3" t="s">
        <v>22</v>
      </c>
      <c r="D255" s="3" t="s">
        <v>24</v>
      </c>
      <c r="E255" s="3" t="s">
        <v>21</v>
      </c>
      <c r="F255" s="3" t="s">
        <v>27</v>
      </c>
      <c r="G255" s="3">
        <v>4415.6400000000003</v>
      </c>
      <c r="H255" s="3">
        <v>4435.2299999999996</v>
      </c>
      <c r="I255" s="3" t="s">
        <v>39</v>
      </c>
      <c r="J255" s="3">
        <v>9</v>
      </c>
      <c r="K255" s="5">
        <f>actual_vs_target_sales_dataset[[#This Row],[Sales_ Amount]]/actual_vs_target_sales_dataset[[#This Row],[Sales_Target]]</f>
        <v>0.9955830926468302</v>
      </c>
    </row>
    <row r="256" spans="1:11" x14ac:dyDescent="0.3">
      <c r="A256" s="2">
        <v>44816</v>
      </c>
      <c r="B256" s="3" t="s">
        <v>17</v>
      </c>
      <c r="C256" s="3" t="s">
        <v>25</v>
      </c>
      <c r="D256" s="3" t="s">
        <v>9</v>
      </c>
      <c r="E256" s="3" t="s">
        <v>10</v>
      </c>
      <c r="F256" s="3" t="s">
        <v>30</v>
      </c>
      <c r="G256" s="3">
        <v>4852.9399999999996</v>
      </c>
      <c r="H256" s="3">
        <v>4990.16</v>
      </c>
      <c r="I256" s="3" t="s">
        <v>39</v>
      </c>
      <c r="J256" s="3">
        <v>9</v>
      </c>
      <c r="K256" s="5">
        <f>actual_vs_target_sales_dataset[[#This Row],[Sales_ Amount]]/actual_vs_target_sales_dataset[[#This Row],[Sales_Target]]</f>
        <v>0.97250188370713564</v>
      </c>
    </row>
    <row r="257" spans="1:11" x14ac:dyDescent="0.3">
      <c r="A257" s="2">
        <v>44817</v>
      </c>
      <c r="B257" s="3" t="s">
        <v>7</v>
      </c>
      <c r="C257" s="3" t="s">
        <v>8</v>
      </c>
      <c r="D257" s="3" t="s">
        <v>18</v>
      </c>
      <c r="E257" s="3" t="s">
        <v>21</v>
      </c>
      <c r="F257" s="3" t="s">
        <v>11</v>
      </c>
      <c r="G257" s="3">
        <v>4390.47</v>
      </c>
      <c r="H257" s="3">
        <v>3944.7</v>
      </c>
      <c r="I257" s="3" t="s">
        <v>39</v>
      </c>
      <c r="J257" s="3">
        <v>9</v>
      </c>
      <c r="K257" s="5">
        <f>actual_vs_target_sales_dataset[[#This Row],[Sales_ Amount]]/actual_vs_target_sales_dataset[[#This Row],[Sales_Target]]</f>
        <v>1.1130047912388776</v>
      </c>
    </row>
    <row r="258" spans="1:11" x14ac:dyDescent="0.3">
      <c r="A258" s="2">
        <v>44818</v>
      </c>
      <c r="B258" s="3" t="s">
        <v>13</v>
      </c>
      <c r="C258" s="3" t="s">
        <v>22</v>
      </c>
      <c r="D258" s="3" t="s">
        <v>9</v>
      </c>
      <c r="E258" s="3" t="s">
        <v>21</v>
      </c>
      <c r="F258" s="3" t="s">
        <v>29</v>
      </c>
      <c r="G258" s="3">
        <v>-4863.47</v>
      </c>
      <c r="H258" s="3">
        <v>-4982.1000000000004</v>
      </c>
      <c r="I258" s="3" t="s">
        <v>39</v>
      </c>
      <c r="J258" s="3">
        <v>9</v>
      </c>
      <c r="K258" s="5">
        <f>actual_vs_target_sales_dataset[[#This Row],[Sales_ Amount]]/actual_vs_target_sales_dataset[[#This Row],[Sales_Target]]</f>
        <v>0.97618875574556907</v>
      </c>
    </row>
    <row r="259" spans="1:11" x14ac:dyDescent="0.3">
      <c r="A259" s="2">
        <v>44819</v>
      </c>
      <c r="B259" s="3" t="s">
        <v>13</v>
      </c>
      <c r="C259" s="3" t="s">
        <v>22</v>
      </c>
      <c r="D259" s="3" t="s">
        <v>24</v>
      </c>
      <c r="E259" s="3" t="s">
        <v>19</v>
      </c>
      <c r="F259" s="3" t="s">
        <v>16</v>
      </c>
      <c r="G259" s="3">
        <v>15710.9</v>
      </c>
      <c r="H259" s="3">
        <v>17946.04</v>
      </c>
      <c r="I259" s="3" t="s">
        <v>39</v>
      </c>
      <c r="J259" s="3">
        <v>9</v>
      </c>
      <c r="K259" s="5">
        <f>actual_vs_target_sales_dataset[[#This Row],[Sales_ Amount]]/actual_vs_target_sales_dataset[[#This Row],[Sales_Target]]</f>
        <v>0.87545218889515453</v>
      </c>
    </row>
    <row r="260" spans="1:11" x14ac:dyDescent="0.3">
      <c r="A260" s="2">
        <v>44820</v>
      </c>
      <c r="B260" s="3" t="s">
        <v>23</v>
      </c>
      <c r="C260" s="3" t="s">
        <v>14</v>
      </c>
      <c r="D260" s="3" t="s">
        <v>18</v>
      </c>
      <c r="E260" s="3" t="s">
        <v>19</v>
      </c>
      <c r="F260" s="3" t="s">
        <v>30</v>
      </c>
      <c r="G260" s="3">
        <v>17011.240000000002</v>
      </c>
      <c r="H260" s="3">
        <v>18414.87</v>
      </c>
      <c r="I260" s="3" t="s">
        <v>39</v>
      </c>
      <c r="J260" s="3">
        <v>9</v>
      </c>
      <c r="K260" s="5">
        <f>actual_vs_target_sales_dataset[[#This Row],[Sales_ Amount]]/actual_vs_target_sales_dataset[[#This Row],[Sales_Target]]</f>
        <v>0.92377736036149061</v>
      </c>
    </row>
    <row r="261" spans="1:11" x14ac:dyDescent="0.3">
      <c r="A261" s="2">
        <v>44821</v>
      </c>
      <c r="B261" s="3" t="s">
        <v>23</v>
      </c>
      <c r="C261" s="3" t="s">
        <v>14</v>
      </c>
      <c r="D261" s="3" t="s">
        <v>18</v>
      </c>
      <c r="E261" s="3" t="s">
        <v>10</v>
      </c>
      <c r="F261" s="3" t="s">
        <v>28</v>
      </c>
      <c r="G261" s="3">
        <v>14506.55</v>
      </c>
      <c r="H261" s="3">
        <v>14055.65</v>
      </c>
      <c r="I261" s="3" t="s">
        <v>39</v>
      </c>
      <c r="J261" s="3">
        <v>9</v>
      </c>
      <c r="K261" s="5">
        <f>actual_vs_target_sales_dataset[[#This Row],[Sales_ Amount]]/actual_vs_target_sales_dataset[[#This Row],[Sales_Target]]</f>
        <v>1.0320796263424317</v>
      </c>
    </row>
    <row r="262" spans="1:11" x14ac:dyDescent="0.3">
      <c r="A262" s="2">
        <v>44822</v>
      </c>
      <c r="B262" s="3" t="s">
        <v>7</v>
      </c>
      <c r="C262" s="3" t="s">
        <v>22</v>
      </c>
      <c r="D262" s="3" t="s">
        <v>24</v>
      </c>
      <c r="E262" s="3" t="s">
        <v>19</v>
      </c>
      <c r="F262" s="3" t="s">
        <v>29</v>
      </c>
      <c r="G262" s="3">
        <v>6430.65</v>
      </c>
      <c r="H262" s="3">
        <v>6379.82</v>
      </c>
      <c r="I262" s="3" t="s">
        <v>39</v>
      </c>
      <c r="J262" s="3">
        <v>9</v>
      </c>
      <c r="K262" s="5">
        <f>actual_vs_target_sales_dataset[[#This Row],[Sales_ Amount]]/actual_vs_target_sales_dataset[[#This Row],[Sales_Target]]</f>
        <v>1.0079673094225228</v>
      </c>
    </row>
    <row r="263" spans="1:11" x14ac:dyDescent="0.3">
      <c r="A263" s="2">
        <v>44823</v>
      </c>
      <c r="B263" s="3" t="s">
        <v>7</v>
      </c>
      <c r="C263" s="3" t="s">
        <v>22</v>
      </c>
      <c r="D263" s="3" t="s">
        <v>9</v>
      </c>
      <c r="E263" s="3" t="s">
        <v>10</v>
      </c>
      <c r="F263" s="3" t="s">
        <v>31</v>
      </c>
      <c r="G263" s="3">
        <v>7576.28</v>
      </c>
      <c r="H263" s="3">
        <v>8610.17</v>
      </c>
      <c r="I263" s="3" t="s">
        <v>39</v>
      </c>
      <c r="J263" s="3">
        <v>9</v>
      </c>
      <c r="K263" s="5">
        <f>actual_vs_target_sales_dataset[[#This Row],[Sales_ Amount]]/actual_vs_target_sales_dataset[[#This Row],[Sales_Target]]</f>
        <v>0.87992223150065563</v>
      </c>
    </row>
    <row r="264" spans="1:11" x14ac:dyDescent="0.3">
      <c r="A264" s="2">
        <v>44824</v>
      </c>
      <c r="B264" s="3" t="s">
        <v>23</v>
      </c>
      <c r="C264" s="3" t="s">
        <v>22</v>
      </c>
      <c r="D264" s="3" t="s">
        <v>15</v>
      </c>
      <c r="E264" s="3" t="s">
        <v>10</v>
      </c>
      <c r="F264" s="3" t="s">
        <v>30</v>
      </c>
      <c r="G264" s="3">
        <v>-1178.6400000000001</v>
      </c>
      <c r="H264" s="3">
        <v>-1156.3900000000001</v>
      </c>
      <c r="I264" s="3" t="s">
        <v>39</v>
      </c>
      <c r="J264" s="3">
        <v>9</v>
      </c>
      <c r="K264" s="5">
        <f>actual_vs_target_sales_dataset[[#This Row],[Sales_ Amount]]/actual_vs_target_sales_dataset[[#This Row],[Sales_Target]]</f>
        <v>1.0192409135326317</v>
      </c>
    </row>
    <row r="265" spans="1:11" x14ac:dyDescent="0.3">
      <c r="A265" s="2">
        <v>44825</v>
      </c>
      <c r="B265" s="3" t="s">
        <v>23</v>
      </c>
      <c r="C265" s="3" t="s">
        <v>8</v>
      </c>
      <c r="D265" s="3" t="s">
        <v>9</v>
      </c>
      <c r="E265" s="3" t="s">
        <v>19</v>
      </c>
      <c r="F265" s="3" t="s">
        <v>28</v>
      </c>
      <c r="G265" s="3">
        <v>11111.59</v>
      </c>
      <c r="H265" s="3">
        <v>10817.16</v>
      </c>
      <c r="I265" s="3" t="s">
        <v>39</v>
      </c>
      <c r="J265" s="3">
        <v>9</v>
      </c>
      <c r="K265" s="5">
        <f>actual_vs_target_sales_dataset[[#This Row],[Sales_ Amount]]/actual_vs_target_sales_dataset[[#This Row],[Sales_Target]]</f>
        <v>1.0272187894049825</v>
      </c>
    </row>
    <row r="266" spans="1:11" x14ac:dyDescent="0.3">
      <c r="A266" s="2">
        <v>44826</v>
      </c>
      <c r="B266" s="3" t="s">
        <v>17</v>
      </c>
      <c r="C266" s="3" t="s">
        <v>22</v>
      </c>
      <c r="D266" s="3" t="s">
        <v>15</v>
      </c>
      <c r="E266" s="3" t="s">
        <v>19</v>
      </c>
      <c r="F266" s="3" t="s">
        <v>30</v>
      </c>
      <c r="G266" s="3">
        <v>-1675.23</v>
      </c>
      <c r="H266" s="3">
        <v>-1624.58</v>
      </c>
      <c r="I266" s="3" t="s">
        <v>39</v>
      </c>
      <c r="J266" s="3">
        <v>9</v>
      </c>
      <c r="K266" s="5">
        <f>actual_vs_target_sales_dataset[[#This Row],[Sales_ Amount]]/actual_vs_target_sales_dataset[[#This Row],[Sales_Target]]</f>
        <v>1.0311772888992847</v>
      </c>
    </row>
    <row r="267" spans="1:11" x14ac:dyDescent="0.3">
      <c r="A267" s="2">
        <v>44827</v>
      </c>
      <c r="B267" s="3" t="s">
        <v>7</v>
      </c>
      <c r="C267" s="3" t="s">
        <v>14</v>
      </c>
      <c r="D267" s="3" t="s">
        <v>18</v>
      </c>
      <c r="E267" s="3" t="s">
        <v>19</v>
      </c>
      <c r="F267" s="3" t="s">
        <v>31</v>
      </c>
      <c r="G267" s="3">
        <v>9299.85</v>
      </c>
      <c r="H267" s="3">
        <v>9165.1299999999992</v>
      </c>
      <c r="I267" s="3" t="s">
        <v>39</v>
      </c>
      <c r="J267" s="3">
        <v>9</v>
      </c>
      <c r="K267" s="5">
        <f>actual_vs_target_sales_dataset[[#This Row],[Sales_ Amount]]/actual_vs_target_sales_dataset[[#This Row],[Sales_Target]]</f>
        <v>1.0146991913917207</v>
      </c>
    </row>
    <row r="268" spans="1:11" x14ac:dyDescent="0.3">
      <c r="A268" s="2">
        <v>44828</v>
      </c>
      <c r="B268" s="3" t="s">
        <v>13</v>
      </c>
      <c r="C268" s="3" t="s">
        <v>14</v>
      </c>
      <c r="D268" s="3" t="s">
        <v>18</v>
      </c>
      <c r="E268" s="3" t="s">
        <v>10</v>
      </c>
      <c r="F268" s="3" t="s">
        <v>31</v>
      </c>
      <c r="G268" s="3">
        <v>5205.97</v>
      </c>
      <c r="H268" s="3">
        <v>4980.97</v>
      </c>
      <c r="I268" s="3" t="s">
        <v>39</v>
      </c>
      <c r="J268" s="3">
        <v>9</v>
      </c>
      <c r="K268" s="5">
        <f>actual_vs_target_sales_dataset[[#This Row],[Sales_ Amount]]/actual_vs_target_sales_dataset[[#This Row],[Sales_Target]]</f>
        <v>1.0451719243440534</v>
      </c>
    </row>
    <row r="269" spans="1:11" x14ac:dyDescent="0.3">
      <c r="A269" s="2">
        <v>44829</v>
      </c>
      <c r="B269" s="3" t="s">
        <v>23</v>
      </c>
      <c r="C269" s="3" t="s">
        <v>25</v>
      </c>
      <c r="D269" s="3" t="s">
        <v>18</v>
      </c>
      <c r="E269" s="3" t="s">
        <v>19</v>
      </c>
      <c r="F269" s="3" t="s">
        <v>29</v>
      </c>
      <c r="G269" s="3">
        <v>8961.58</v>
      </c>
      <c r="H269" s="3">
        <v>9479.2900000000009</v>
      </c>
      <c r="I269" s="3" t="s">
        <v>39</v>
      </c>
      <c r="J269" s="3">
        <v>9</v>
      </c>
      <c r="K269" s="5">
        <f>actual_vs_target_sales_dataset[[#This Row],[Sales_ Amount]]/actual_vs_target_sales_dataset[[#This Row],[Sales_Target]]</f>
        <v>0.94538515015365066</v>
      </c>
    </row>
    <row r="270" spans="1:11" x14ac:dyDescent="0.3">
      <c r="A270" s="2">
        <v>44830</v>
      </c>
      <c r="B270" s="3" t="s">
        <v>20</v>
      </c>
      <c r="C270" s="3" t="s">
        <v>14</v>
      </c>
      <c r="D270" s="3" t="s">
        <v>9</v>
      </c>
      <c r="E270" s="3" t="s">
        <v>10</v>
      </c>
      <c r="F270" s="3" t="s">
        <v>29</v>
      </c>
      <c r="G270" s="3">
        <v>12887.3</v>
      </c>
      <c r="H270" s="3">
        <v>12189.6</v>
      </c>
      <c r="I270" s="3" t="s">
        <v>39</v>
      </c>
      <c r="J270" s="3">
        <v>9</v>
      </c>
      <c r="K270" s="5">
        <f>actual_vs_target_sales_dataset[[#This Row],[Sales_ Amount]]/actual_vs_target_sales_dataset[[#This Row],[Sales_Target]]</f>
        <v>1.0572373170571634</v>
      </c>
    </row>
    <row r="271" spans="1:11" x14ac:dyDescent="0.3">
      <c r="A271" s="2">
        <v>44831</v>
      </c>
      <c r="B271" s="3" t="s">
        <v>7</v>
      </c>
      <c r="C271" s="3" t="s">
        <v>22</v>
      </c>
      <c r="D271" s="3" t="s">
        <v>24</v>
      </c>
      <c r="E271" s="3" t="s">
        <v>21</v>
      </c>
      <c r="F271" s="3" t="s">
        <v>16</v>
      </c>
      <c r="G271" s="3">
        <v>7540.93</v>
      </c>
      <c r="H271" s="3">
        <v>8601.18</v>
      </c>
      <c r="I271" s="3" t="s">
        <v>39</v>
      </c>
      <c r="J271" s="3">
        <v>9</v>
      </c>
      <c r="K271" s="5">
        <f>actual_vs_target_sales_dataset[[#This Row],[Sales_ Amount]]/actual_vs_target_sales_dataset[[#This Row],[Sales_Target]]</f>
        <v>0.87673202979126119</v>
      </c>
    </row>
    <row r="272" spans="1:11" x14ac:dyDescent="0.3">
      <c r="A272" s="2">
        <v>44832</v>
      </c>
      <c r="B272" s="3" t="s">
        <v>17</v>
      </c>
      <c r="C272" s="3" t="s">
        <v>14</v>
      </c>
      <c r="D272" s="3" t="s">
        <v>15</v>
      </c>
      <c r="E272" s="3" t="s">
        <v>19</v>
      </c>
      <c r="F272" s="3" t="s">
        <v>31</v>
      </c>
      <c r="G272" s="3">
        <v>-2739.08</v>
      </c>
      <c r="H272" s="3">
        <v>-3057.49</v>
      </c>
      <c r="I272" s="3" t="s">
        <v>39</v>
      </c>
      <c r="J272" s="3">
        <v>9</v>
      </c>
      <c r="K272" s="5">
        <f>actual_vs_target_sales_dataset[[#This Row],[Sales_ Amount]]/actual_vs_target_sales_dataset[[#This Row],[Sales_Target]]</f>
        <v>0.8958590216157698</v>
      </c>
    </row>
    <row r="273" spans="1:11" x14ac:dyDescent="0.3">
      <c r="A273" s="2">
        <v>44833</v>
      </c>
      <c r="B273" s="3" t="s">
        <v>17</v>
      </c>
      <c r="C273" s="3" t="s">
        <v>8</v>
      </c>
      <c r="D273" s="3" t="s">
        <v>15</v>
      </c>
      <c r="E273" s="3" t="s">
        <v>10</v>
      </c>
      <c r="F273" s="3" t="s">
        <v>11</v>
      </c>
      <c r="G273" s="3">
        <v>12530.36</v>
      </c>
      <c r="H273" s="3">
        <v>11950.65</v>
      </c>
      <c r="I273" s="3" t="s">
        <v>39</v>
      </c>
      <c r="J273" s="3">
        <v>9</v>
      </c>
      <c r="K273" s="5">
        <f>actual_vs_target_sales_dataset[[#This Row],[Sales_ Amount]]/actual_vs_target_sales_dataset[[#This Row],[Sales_Target]]</f>
        <v>1.0485086585248502</v>
      </c>
    </row>
    <row r="274" spans="1:11" x14ac:dyDescent="0.3">
      <c r="A274" s="2">
        <v>44834</v>
      </c>
      <c r="B274" s="3" t="s">
        <v>20</v>
      </c>
      <c r="C274" s="3" t="s">
        <v>8</v>
      </c>
      <c r="D274" s="3" t="s">
        <v>18</v>
      </c>
      <c r="E274" s="3" t="s">
        <v>10</v>
      </c>
      <c r="F274" s="3" t="s">
        <v>11</v>
      </c>
      <c r="G274" s="3">
        <v>6091.52</v>
      </c>
      <c r="H274" s="3">
        <v>6390.04</v>
      </c>
      <c r="I274" s="3" t="s">
        <v>39</v>
      </c>
      <c r="J274" s="3">
        <v>9</v>
      </c>
      <c r="K274" s="5">
        <f>actual_vs_target_sales_dataset[[#This Row],[Sales_ Amount]]/actual_vs_target_sales_dataset[[#This Row],[Sales_Target]]</f>
        <v>0.95328354752082933</v>
      </c>
    </row>
    <row r="275" spans="1:11" x14ac:dyDescent="0.3">
      <c r="A275" s="2">
        <v>44835</v>
      </c>
      <c r="B275" s="3" t="s">
        <v>23</v>
      </c>
      <c r="C275" s="3" t="s">
        <v>22</v>
      </c>
      <c r="D275" s="3" t="s">
        <v>9</v>
      </c>
      <c r="E275" s="3" t="s">
        <v>10</v>
      </c>
      <c r="F275" s="3" t="s">
        <v>31</v>
      </c>
      <c r="G275" s="3">
        <v>9082</v>
      </c>
      <c r="H275" s="3">
        <v>8811.07</v>
      </c>
      <c r="I275" s="3" t="s">
        <v>40</v>
      </c>
      <c r="J275" s="3">
        <v>10</v>
      </c>
      <c r="K275" s="5">
        <f>actual_vs_target_sales_dataset[[#This Row],[Sales_ Amount]]/actual_vs_target_sales_dataset[[#This Row],[Sales_Target]]</f>
        <v>1.03074881938289</v>
      </c>
    </row>
    <row r="276" spans="1:11" x14ac:dyDescent="0.3">
      <c r="A276" s="2">
        <v>44836</v>
      </c>
      <c r="B276" s="3" t="s">
        <v>7</v>
      </c>
      <c r="C276" s="3" t="s">
        <v>25</v>
      </c>
      <c r="D276" s="3" t="s">
        <v>15</v>
      </c>
      <c r="E276" s="3" t="s">
        <v>19</v>
      </c>
      <c r="F276" s="3" t="s">
        <v>26</v>
      </c>
      <c r="G276" s="3">
        <v>6778.01</v>
      </c>
      <c r="H276" s="3">
        <v>7240.4</v>
      </c>
      <c r="I276" s="3" t="s">
        <v>40</v>
      </c>
      <c r="J276" s="3">
        <v>10</v>
      </c>
      <c r="K276" s="5">
        <f>actual_vs_target_sales_dataset[[#This Row],[Sales_ Amount]]/actual_vs_target_sales_dataset[[#This Row],[Sales_Target]]</f>
        <v>0.93613750621512626</v>
      </c>
    </row>
    <row r="277" spans="1:11" x14ac:dyDescent="0.3">
      <c r="A277" s="2">
        <v>44837</v>
      </c>
      <c r="B277" s="3" t="s">
        <v>13</v>
      </c>
      <c r="C277" s="3" t="s">
        <v>14</v>
      </c>
      <c r="D277" s="3" t="s">
        <v>15</v>
      </c>
      <c r="E277" s="3" t="s">
        <v>21</v>
      </c>
      <c r="F277" s="3" t="s">
        <v>11</v>
      </c>
      <c r="G277" s="3">
        <v>13658.58</v>
      </c>
      <c r="H277" s="3">
        <v>13216.97</v>
      </c>
      <c r="I277" s="3" t="s">
        <v>40</v>
      </c>
      <c r="J277" s="3">
        <v>10</v>
      </c>
      <c r="K277" s="5">
        <f>actual_vs_target_sales_dataset[[#This Row],[Sales_ Amount]]/actual_vs_target_sales_dataset[[#This Row],[Sales_Target]]</f>
        <v>1.0334123479133266</v>
      </c>
    </row>
    <row r="278" spans="1:11" x14ac:dyDescent="0.3">
      <c r="A278" s="2">
        <v>44838</v>
      </c>
      <c r="B278" s="3" t="s">
        <v>17</v>
      </c>
      <c r="C278" s="3" t="s">
        <v>22</v>
      </c>
      <c r="D278" s="3" t="s">
        <v>9</v>
      </c>
      <c r="E278" s="3" t="s">
        <v>19</v>
      </c>
      <c r="F278" s="3" t="s">
        <v>30</v>
      </c>
      <c r="G278" s="3">
        <v>11402.46</v>
      </c>
      <c r="H278" s="3">
        <v>10547.48</v>
      </c>
      <c r="I278" s="3" t="s">
        <v>40</v>
      </c>
      <c r="J278" s="3">
        <v>10</v>
      </c>
      <c r="K278" s="5">
        <f>actual_vs_target_sales_dataset[[#This Row],[Sales_ Amount]]/actual_vs_target_sales_dataset[[#This Row],[Sales_Target]]</f>
        <v>1.081060120521679</v>
      </c>
    </row>
    <row r="279" spans="1:11" x14ac:dyDescent="0.3">
      <c r="A279" s="2">
        <v>44839</v>
      </c>
      <c r="B279" s="3" t="s">
        <v>20</v>
      </c>
      <c r="C279" s="3" t="s">
        <v>8</v>
      </c>
      <c r="D279" s="3" t="s">
        <v>9</v>
      </c>
      <c r="E279" s="3" t="s">
        <v>21</v>
      </c>
      <c r="F279" s="3" t="s">
        <v>28</v>
      </c>
      <c r="G279" s="3">
        <v>13213.33</v>
      </c>
      <c r="H279" s="3">
        <v>12939.19</v>
      </c>
      <c r="I279" s="3" t="s">
        <v>40</v>
      </c>
      <c r="J279" s="3">
        <v>10</v>
      </c>
      <c r="K279" s="5">
        <f>actual_vs_target_sales_dataset[[#This Row],[Sales_ Amount]]/actual_vs_target_sales_dataset[[#This Row],[Sales_Target]]</f>
        <v>1.0211867976279814</v>
      </c>
    </row>
    <row r="280" spans="1:11" x14ac:dyDescent="0.3">
      <c r="A280" s="2">
        <v>44840</v>
      </c>
      <c r="B280" s="3" t="s">
        <v>13</v>
      </c>
      <c r="C280" s="3" t="s">
        <v>25</v>
      </c>
      <c r="D280" s="3" t="s">
        <v>18</v>
      </c>
      <c r="E280" s="3" t="s">
        <v>21</v>
      </c>
      <c r="F280" s="3" t="s">
        <v>29</v>
      </c>
      <c r="G280" s="3">
        <v>9671.36</v>
      </c>
      <c r="H280" s="3">
        <v>8913</v>
      </c>
      <c r="I280" s="3" t="s">
        <v>40</v>
      </c>
      <c r="J280" s="3">
        <v>10</v>
      </c>
      <c r="K280" s="5">
        <f>actual_vs_target_sales_dataset[[#This Row],[Sales_ Amount]]/actual_vs_target_sales_dataset[[#This Row],[Sales_Target]]</f>
        <v>1.0850847077302817</v>
      </c>
    </row>
    <row r="281" spans="1:11" x14ac:dyDescent="0.3">
      <c r="A281" s="2">
        <v>44841</v>
      </c>
      <c r="B281" s="3" t="s">
        <v>13</v>
      </c>
      <c r="C281" s="3" t="s">
        <v>8</v>
      </c>
      <c r="D281" s="3" t="s">
        <v>9</v>
      </c>
      <c r="E281" s="3" t="s">
        <v>10</v>
      </c>
      <c r="F281" s="3" t="s">
        <v>28</v>
      </c>
      <c r="G281" s="3">
        <v>9245.02</v>
      </c>
      <c r="H281" s="3">
        <v>9473.93</v>
      </c>
      <c r="I281" s="3" t="s">
        <v>40</v>
      </c>
      <c r="J281" s="3">
        <v>10</v>
      </c>
      <c r="K281" s="5">
        <f>actual_vs_target_sales_dataset[[#This Row],[Sales_ Amount]]/actual_vs_target_sales_dataset[[#This Row],[Sales_Target]]</f>
        <v>0.97583790464991826</v>
      </c>
    </row>
    <row r="282" spans="1:11" x14ac:dyDescent="0.3">
      <c r="A282" s="2">
        <v>44842</v>
      </c>
      <c r="B282" s="3" t="s">
        <v>7</v>
      </c>
      <c r="C282" s="3" t="s">
        <v>25</v>
      </c>
      <c r="D282" s="3" t="s">
        <v>18</v>
      </c>
      <c r="E282" s="3" t="s">
        <v>21</v>
      </c>
      <c r="F282" s="3" t="s">
        <v>28</v>
      </c>
      <c r="G282" s="3">
        <v>6649.28</v>
      </c>
      <c r="H282" s="3">
        <v>7173.67</v>
      </c>
      <c r="I282" s="3" t="s">
        <v>40</v>
      </c>
      <c r="J282" s="3">
        <v>10</v>
      </c>
      <c r="K282" s="5">
        <f>actual_vs_target_sales_dataset[[#This Row],[Sales_ Amount]]/actual_vs_target_sales_dataset[[#This Row],[Sales_Target]]</f>
        <v>0.92690073560673958</v>
      </c>
    </row>
    <row r="283" spans="1:11" x14ac:dyDescent="0.3">
      <c r="A283" s="2">
        <v>44843</v>
      </c>
      <c r="B283" s="3" t="s">
        <v>23</v>
      </c>
      <c r="C283" s="3" t="s">
        <v>25</v>
      </c>
      <c r="D283" s="3" t="s">
        <v>9</v>
      </c>
      <c r="E283" s="3" t="s">
        <v>21</v>
      </c>
      <c r="F283" s="3" t="s">
        <v>31</v>
      </c>
      <c r="G283" s="3">
        <v>9294.56</v>
      </c>
      <c r="H283" s="3">
        <v>8689.48</v>
      </c>
      <c r="I283" s="3" t="s">
        <v>40</v>
      </c>
      <c r="J283" s="3">
        <v>10</v>
      </c>
      <c r="K283" s="5">
        <f>actual_vs_target_sales_dataset[[#This Row],[Sales_ Amount]]/actual_vs_target_sales_dataset[[#This Row],[Sales_Target]]</f>
        <v>1.0696336259476977</v>
      </c>
    </row>
    <row r="284" spans="1:11" x14ac:dyDescent="0.3">
      <c r="A284" s="2">
        <v>44844</v>
      </c>
      <c r="B284" s="3" t="s">
        <v>20</v>
      </c>
      <c r="C284" s="3" t="s">
        <v>14</v>
      </c>
      <c r="D284" s="3" t="s">
        <v>9</v>
      </c>
      <c r="E284" s="3" t="s">
        <v>21</v>
      </c>
      <c r="F284" s="3" t="s">
        <v>11</v>
      </c>
      <c r="G284" s="3">
        <v>-1678.29</v>
      </c>
      <c r="H284" s="3">
        <v>-1748.94</v>
      </c>
      <c r="I284" s="3" t="s">
        <v>40</v>
      </c>
      <c r="J284" s="3">
        <v>10</v>
      </c>
      <c r="K284" s="5">
        <f>actual_vs_target_sales_dataset[[#This Row],[Sales_ Amount]]/actual_vs_target_sales_dataset[[#This Row],[Sales_Target]]</f>
        <v>0.95960410305670862</v>
      </c>
    </row>
    <row r="285" spans="1:11" x14ac:dyDescent="0.3">
      <c r="A285" s="2">
        <v>44845</v>
      </c>
      <c r="B285" s="3" t="s">
        <v>13</v>
      </c>
      <c r="C285" s="3" t="s">
        <v>14</v>
      </c>
      <c r="D285" s="3" t="s">
        <v>15</v>
      </c>
      <c r="E285" s="3" t="s">
        <v>19</v>
      </c>
      <c r="F285" s="3" t="s">
        <v>30</v>
      </c>
      <c r="G285" s="3">
        <v>-1611.11</v>
      </c>
      <c r="H285" s="3">
        <v>-1470.1</v>
      </c>
      <c r="I285" s="3" t="s">
        <v>40</v>
      </c>
      <c r="J285" s="3">
        <v>10</v>
      </c>
      <c r="K285" s="5">
        <f>actual_vs_target_sales_dataset[[#This Row],[Sales_ Amount]]/actual_vs_target_sales_dataset[[#This Row],[Sales_Target]]</f>
        <v>1.0959186449901368</v>
      </c>
    </row>
    <row r="286" spans="1:11" x14ac:dyDescent="0.3">
      <c r="A286" s="2">
        <v>44846</v>
      </c>
      <c r="B286" s="3" t="s">
        <v>20</v>
      </c>
      <c r="C286" s="3" t="s">
        <v>22</v>
      </c>
      <c r="D286" s="3" t="s">
        <v>15</v>
      </c>
      <c r="E286" s="3" t="s">
        <v>21</v>
      </c>
      <c r="F286" s="3" t="s">
        <v>11</v>
      </c>
      <c r="G286" s="3">
        <v>6816.06</v>
      </c>
      <c r="H286" s="3">
        <v>6872.28</v>
      </c>
      <c r="I286" s="3" t="s">
        <v>40</v>
      </c>
      <c r="J286" s="3">
        <v>10</v>
      </c>
      <c r="K286" s="5">
        <f>actual_vs_target_sales_dataset[[#This Row],[Sales_ Amount]]/actual_vs_target_sales_dataset[[#This Row],[Sales_Target]]</f>
        <v>0.99181930887565706</v>
      </c>
    </row>
    <row r="287" spans="1:11" x14ac:dyDescent="0.3">
      <c r="A287" s="2">
        <v>44847</v>
      </c>
      <c r="B287" s="3" t="s">
        <v>23</v>
      </c>
      <c r="C287" s="3" t="s">
        <v>8</v>
      </c>
      <c r="D287" s="3" t="s">
        <v>15</v>
      </c>
      <c r="E287" s="3" t="s">
        <v>19</v>
      </c>
      <c r="F287" s="3" t="s">
        <v>16</v>
      </c>
      <c r="G287" s="3">
        <v>3671.89</v>
      </c>
      <c r="H287" s="3">
        <v>3820.85</v>
      </c>
      <c r="I287" s="3" t="s">
        <v>40</v>
      </c>
      <c r="J287" s="3">
        <v>10</v>
      </c>
      <c r="K287" s="5">
        <f>actual_vs_target_sales_dataset[[#This Row],[Sales_ Amount]]/actual_vs_target_sales_dataset[[#This Row],[Sales_Target]]</f>
        <v>0.96101391051729324</v>
      </c>
    </row>
    <row r="288" spans="1:11" x14ac:dyDescent="0.3">
      <c r="A288" s="2">
        <v>44848</v>
      </c>
      <c r="B288" s="3" t="s">
        <v>20</v>
      </c>
      <c r="C288" s="3" t="s">
        <v>14</v>
      </c>
      <c r="D288" s="3" t="s">
        <v>15</v>
      </c>
      <c r="E288" s="3" t="s">
        <v>21</v>
      </c>
      <c r="F288" s="3" t="s">
        <v>11</v>
      </c>
      <c r="G288" s="3">
        <v>17553.55</v>
      </c>
      <c r="H288" s="3">
        <v>17899.97</v>
      </c>
      <c r="I288" s="3" t="s">
        <v>40</v>
      </c>
      <c r="J288" s="3">
        <v>10</v>
      </c>
      <c r="K288" s="5">
        <f>actual_vs_target_sales_dataset[[#This Row],[Sales_ Amount]]/actual_vs_target_sales_dataset[[#This Row],[Sales_Target]]</f>
        <v>0.98064689493892998</v>
      </c>
    </row>
    <row r="289" spans="1:11" x14ac:dyDescent="0.3">
      <c r="A289" s="2">
        <v>44849</v>
      </c>
      <c r="B289" s="3" t="s">
        <v>7</v>
      </c>
      <c r="C289" s="3" t="s">
        <v>14</v>
      </c>
      <c r="D289" s="3" t="s">
        <v>15</v>
      </c>
      <c r="E289" s="3" t="s">
        <v>19</v>
      </c>
      <c r="F289" s="3" t="s">
        <v>31</v>
      </c>
      <c r="G289" s="3">
        <v>1552.6</v>
      </c>
      <c r="H289" s="3">
        <v>1635.35</v>
      </c>
      <c r="I289" s="3" t="s">
        <v>40</v>
      </c>
      <c r="J289" s="3">
        <v>10</v>
      </c>
      <c r="K289" s="5">
        <f>actual_vs_target_sales_dataset[[#This Row],[Sales_ Amount]]/actual_vs_target_sales_dataset[[#This Row],[Sales_Target]]</f>
        <v>0.94939921117803527</v>
      </c>
    </row>
    <row r="290" spans="1:11" x14ac:dyDescent="0.3">
      <c r="A290" s="2">
        <v>44850</v>
      </c>
      <c r="B290" s="3" t="s">
        <v>23</v>
      </c>
      <c r="C290" s="3" t="s">
        <v>22</v>
      </c>
      <c r="D290" s="3" t="s">
        <v>15</v>
      </c>
      <c r="E290" s="3" t="s">
        <v>10</v>
      </c>
      <c r="F290" s="3" t="s">
        <v>11</v>
      </c>
      <c r="G290" s="3">
        <v>4891.3999999999996</v>
      </c>
      <c r="H290" s="3">
        <v>4940.03</v>
      </c>
      <c r="I290" s="3" t="s">
        <v>40</v>
      </c>
      <c r="J290" s="3">
        <v>10</v>
      </c>
      <c r="K290" s="5">
        <f>actual_vs_target_sales_dataset[[#This Row],[Sales_ Amount]]/actual_vs_target_sales_dataset[[#This Row],[Sales_Target]]</f>
        <v>0.99015593022714432</v>
      </c>
    </row>
    <row r="291" spans="1:11" x14ac:dyDescent="0.3">
      <c r="A291" s="2">
        <v>44851</v>
      </c>
      <c r="B291" s="3" t="s">
        <v>17</v>
      </c>
      <c r="C291" s="3" t="s">
        <v>25</v>
      </c>
      <c r="D291" s="3" t="s">
        <v>9</v>
      </c>
      <c r="E291" s="3" t="s">
        <v>21</v>
      </c>
      <c r="F291" s="3" t="s">
        <v>31</v>
      </c>
      <c r="G291" s="3">
        <v>20513.8</v>
      </c>
      <c r="H291" s="3">
        <v>20944.5</v>
      </c>
      <c r="I291" s="3" t="s">
        <v>40</v>
      </c>
      <c r="J291" s="3">
        <v>10</v>
      </c>
      <c r="K291" s="5">
        <f>actual_vs_target_sales_dataset[[#This Row],[Sales_ Amount]]/actual_vs_target_sales_dataset[[#This Row],[Sales_Target]]</f>
        <v>0.97943612881663444</v>
      </c>
    </row>
    <row r="292" spans="1:11" x14ac:dyDescent="0.3">
      <c r="A292" s="2">
        <v>44852</v>
      </c>
      <c r="B292" s="3" t="s">
        <v>13</v>
      </c>
      <c r="C292" s="3" t="s">
        <v>25</v>
      </c>
      <c r="D292" s="3" t="s">
        <v>24</v>
      </c>
      <c r="E292" s="3" t="s">
        <v>21</v>
      </c>
      <c r="F292" s="3" t="s">
        <v>27</v>
      </c>
      <c r="G292" s="3">
        <v>-1433.24</v>
      </c>
      <c r="H292" s="3">
        <v>-1241.4100000000001</v>
      </c>
      <c r="I292" s="3" t="s">
        <v>40</v>
      </c>
      <c r="J292" s="3">
        <v>10</v>
      </c>
      <c r="K292" s="5">
        <f>actual_vs_target_sales_dataset[[#This Row],[Sales_ Amount]]/actual_vs_target_sales_dataset[[#This Row],[Sales_Target]]</f>
        <v>1.1545259019985339</v>
      </c>
    </row>
    <row r="293" spans="1:11" x14ac:dyDescent="0.3">
      <c r="A293" s="2">
        <v>44853</v>
      </c>
      <c r="B293" s="3" t="s">
        <v>20</v>
      </c>
      <c r="C293" s="3" t="s">
        <v>25</v>
      </c>
      <c r="D293" s="3" t="s">
        <v>24</v>
      </c>
      <c r="E293" s="3" t="s">
        <v>10</v>
      </c>
      <c r="F293" s="3" t="s">
        <v>27</v>
      </c>
      <c r="G293" s="3">
        <v>11851.59</v>
      </c>
      <c r="H293" s="3">
        <v>11636.74</v>
      </c>
      <c r="I293" s="3" t="s">
        <v>40</v>
      </c>
      <c r="J293" s="3">
        <v>10</v>
      </c>
      <c r="K293" s="5">
        <f>actual_vs_target_sales_dataset[[#This Row],[Sales_ Amount]]/actual_vs_target_sales_dataset[[#This Row],[Sales_Target]]</f>
        <v>1.0184630747099275</v>
      </c>
    </row>
    <row r="294" spans="1:11" x14ac:dyDescent="0.3">
      <c r="A294" s="2">
        <v>44854</v>
      </c>
      <c r="B294" s="3" t="s">
        <v>7</v>
      </c>
      <c r="C294" s="3" t="s">
        <v>22</v>
      </c>
      <c r="D294" s="3" t="s">
        <v>24</v>
      </c>
      <c r="E294" s="3" t="s">
        <v>10</v>
      </c>
      <c r="F294" s="3" t="s">
        <v>27</v>
      </c>
      <c r="G294" s="3">
        <v>7570.29</v>
      </c>
      <c r="H294" s="3">
        <v>7950.56</v>
      </c>
      <c r="I294" s="3" t="s">
        <v>40</v>
      </c>
      <c r="J294" s="3">
        <v>10</v>
      </c>
      <c r="K294" s="5">
        <f>actual_vs_target_sales_dataset[[#This Row],[Sales_ Amount]]/actual_vs_target_sales_dataset[[#This Row],[Sales_Target]]</f>
        <v>0.95217066470789469</v>
      </c>
    </row>
    <row r="295" spans="1:11" x14ac:dyDescent="0.3">
      <c r="A295" s="2">
        <v>44855</v>
      </c>
      <c r="B295" s="3" t="s">
        <v>20</v>
      </c>
      <c r="C295" s="3" t="s">
        <v>22</v>
      </c>
      <c r="D295" s="3" t="s">
        <v>18</v>
      </c>
      <c r="E295" s="3" t="s">
        <v>10</v>
      </c>
      <c r="F295" s="3" t="s">
        <v>26</v>
      </c>
      <c r="G295" s="3">
        <v>2496.37</v>
      </c>
      <c r="H295" s="3">
        <v>2486.9</v>
      </c>
      <c r="I295" s="3" t="s">
        <v>40</v>
      </c>
      <c r="J295" s="3">
        <v>10</v>
      </c>
      <c r="K295" s="5">
        <f>actual_vs_target_sales_dataset[[#This Row],[Sales_ Amount]]/actual_vs_target_sales_dataset[[#This Row],[Sales_Target]]</f>
        <v>1.0038079536772688</v>
      </c>
    </row>
    <row r="296" spans="1:11" x14ac:dyDescent="0.3">
      <c r="A296" s="2">
        <v>44856</v>
      </c>
      <c r="B296" s="3" t="s">
        <v>17</v>
      </c>
      <c r="C296" s="3" t="s">
        <v>25</v>
      </c>
      <c r="D296" s="3" t="s">
        <v>24</v>
      </c>
      <c r="E296" s="3" t="s">
        <v>10</v>
      </c>
      <c r="F296" s="3" t="s">
        <v>29</v>
      </c>
      <c r="G296" s="3">
        <v>271.16000000000003</v>
      </c>
      <c r="H296" s="3">
        <v>223.71</v>
      </c>
      <c r="I296" s="3" t="s">
        <v>40</v>
      </c>
      <c r="J296" s="3">
        <v>10</v>
      </c>
      <c r="K296" s="5">
        <f>actual_vs_target_sales_dataset[[#This Row],[Sales_ Amount]]/actual_vs_target_sales_dataset[[#This Row],[Sales_Target]]</f>
        <v>1.2121049573108043</v>
      </c>
    </row>
    <row r="297" spans="1:11" x14ac:dyDescent="0.3">
      <c r="A297" s="2">
        <v>44857</v>
      </c>
      <c r="B297" s="3" t="s">
        <v>23</v>
      </c>
      <c r="C297" s="3" t="s">
        <v>25</v>
      </c>
      <c r="D297" s="3" t="s">
        <v>9</v>
      </c>
      <c r="E297" s="3" t="s">
        <v>19</v>
      </c>
      <c r="F297" s="3" t="s">
        <v>27</v>
      </c>
      <c r="G297" s="3">
        <v>17284.88</v>
      </c>
      <c r="H297" s="3">
        <v>16217.87</v>
      </c>
      <c r="I297" s="3" t="s">
        <v>40</v>
      </c>
      <c r="J297" s="3">
        <v>10</v>
      </c>
      <c r="K297" s="5">
        <f>actual_vs_target_sales_dataset[[#This Row],[Sales_ Amount]]/actual_vs_target_sales_dataset[[#This Row],[Sales_Target]]</f>
        <v>1.065792240288028</v>
      </c>
    </row>
    <row r="298" spans="1:11" x14ac:dyDescent="0.3">
      <c r="A298" s="2">
        <v>44858</v>
      </c>
      <c r="B298" s="3" t="s">
        <v>7</v>
      </c>
      <c r="C298" s="3" t="s">
        <v>25</v>
      </c>
      <c r="D298" s="3" t="s">
        <v>24</v>
      </c>
      <c r="E298" s="3" t="s">
        <v>19</v>
      </c>
      <c r="F298" s="3" t="s">
        <v>27</v>
      </c>
      <c r="G298" s="3">
        <v>5601.72</v>
      </c>
      <c r="H298" s="3">
        <v>5141.62</v>
      </c>
      <c r="I298" s="3" t="s">
        <v>40</v>
      </c>
      <c r="J298" s="3">
        <v>10</v>
      </c>
      <c r="K298" s="5">
        <f>actual_vs_target_sales_dataset[[#This Row],[Sales_ Amount]]/actual_vs_target_sales_dataset[[#This Row],[Sales_Target]]</f>
        <v>1.0894854151026332</v>
      </c>
    </row>
    <row r="299" spans="1:11" x14ac:dyDescent="0.3">
      <c r="A299" s="2">
        <v>44859</v>
      </c>
      <c r="B299" s="3" t="s">
        <v>23</v>
      </c>
      <c r="C299" s="3" t="s">
        <v>8</v>
      </c>
      <c r="D299" s="3" t="s">
        <v>15</v>
      </c>
      <c r="E299" s="3" t="s">
        <v>10</v>
      </c>
      <c r="F299" s="3" t="s">
        <v>28</v>
      </c>
      <c r="G299" s="3">
        <v>17081.88</v>
      </c>
      <c r="H299" s="3">
        <v>17455.63</v>
      </c>
      <c r="I299" s="3" t="s">
        <v>40</v>
      </c>
      <c r="J299" s="3">
        <v>10</v>
      </c>
      <c r="K299" s="5">
        <f>actual_vs_target_sales_dataset[[#This Row],[Sales_ Amount]]/actual_vs_target_sales_dataset[[#This Row],[Sales_Target]]</f>
        <v>0.97858856999145838</v>
      </c>
    </row>
    <row r="300" spans="1:11" x14ac:dyDescent="0.3">
      <c r="A300" s="2">
        <v>44860</v>
      </c>
      <c r="B300" s="3" t="s">
        <v>13</v>
      </c>
      <c r="C300" s="3" t="s">
        <v>25</v>
      </c>
      <c r="D300" s="3" t="s">
        <v>18</v>
      </c>
      <c r="E300" s="3" t="s">
        <v>21</v>
      </c>
      <c r="F300" s="3" t="s">
        <v>11</v>
      </c>
      <c r="G300" s="3">
        <v>3713.88</v>
      </c>
      <c r="H300" s="3">
        <v>3644.28</v>
      </c>
      <c r="I300" s="3" t="s">
        <v>40</v>
      </c>
      <c r="J300" s="3">
        <v>10</v>
      </c>
      <c r="K300" s="5">
        <f>actual_vs_target_sales_dataset[[#This Row],[Sales_ Amount]]/actual_vs_target_sales_dataset[[#This Row],[Sales_Target]]</f>
        <v>1.0190984227337088</v>
      </c>
    </row>
    <row r="301" spans="1:11" x14ac:dyDescent="0.3">
      <c r="A301" s="2">
        <v>44861</v>
      </c>
      <c r="B301" s="3" t="s">
        <v>17</v>
      </c>
      <c r="C301" s="3" t="s">
        <v>14</v>
      </c>
      <c r="D301" s="3" t="s">
        <v>9</v>
      </c>
      <c r="E301" s="3" t="s">
        <v>21</v>
      </c>
      <c r="F301" s="3" t="s">
        <v>16</v>
      </c>
      <c r="G301" s="3">
        <v>9347.81</v>
      </c>
      <c r="H301" s="3">
        <v>9165.6299999999992</v>
      </c>
      <c r="I301" s="3" t="s">
        <v>40</v>
      </c>
      <c r="J301" s="3">
        <v>10</v>
      </c>
      <c r="K301" s="5">
        <f>actual_vs_target_sales_dataset[[#This Row],[Sales_ Amount]]/actual_vs_target_sales_dataset[[#This Row],[Sales_Target]]</f>
        <v>1.0198764296616818</v>
      </c>
    </row>
    <row r="302" spans="1:11" x14ac:dyDescent="0.3">
      <c r="A302" s="2">
        <v>44862</v>
      </c>
      <c r="B302" s="3" t="s">
        <v>23</v>
      </c>
      <c r="C302" s="3" t="s">
        <v>14</v>
      </c>
      <c r="D302" s="3" t="s">
        <v>18</v>
      </c>
      <c r="E302" s="3" t="s">
        <v>10</v>
      </c>
      <c r="F302" s="3" t="s">
        <v>27</v>
      </c>
      <c r="G302" s="3">
        <v>8156.96</v>
      </c>
      <c r="H302" s="3">
        <v>7937.92</v>
      </c>
      <c r="I302" s="3" t="s">
        <v>40</v>
      </c>
      <c r="J302" s="3">
        <v>10</v>
      </c>
      <c r="K302" s="5">
        <f>actual_vs_target_sales_dataset[[#This Row],[Sales_ Amount]]/actual_vs_target_sales_dataset[[#This Row],[Sales_Target]]</f>
        <v>1.02759413045231</v>
      </c>
    </row>
    <row r="303" spans="1:11" x14ac:dyDescent="0.3">
      <c r="A303" s="2">
        <v>44863</v>
      </c>
      <c r="B303" s="3" t="s">
        <v>23</v>
      </c>
      <c r="C303" s="3" t="s">
        <v>8</v>
      </c>
      <c r="D303" s="3" t="s">
        <v>18</v>
      </c>
      <c r="E303" s="3" t="s">
        <v>19</v>
      </c>
      <c r="F303" s="3" t="s">
        <v>11</v>
      </c>
      <c r="G303" s="3">
        <v>6289.79</v>
      </c>
      <c r="H303" s="3">
        <v>6197.73</v>
      </c>
      <c r="I303" s="3" t="s">
        <v>40</v>
      </c>
      <c r="J303" s="3">
        <v>10</v>
      </c>
      <c r="K303" s="5">
        <f>actual_vs_target_sales_dataset[[#This Row],[Sales_ Amount]]/actual_vs_target_sales_dataset[[#This Row],[Sales_Target]]</f>
        <v>1.0148538255135349</v>
      </c>
    </row>
    <row r="304" spans="1:11" x14ac:dyDescent="0.3">
      <c r="A304" s="2">
        <v>44864</v>
      </c>
      <c r="B304" s="3" t="s">
        <v>23</v>
      </c>
      <c r="C304" s="3" t="s">
        <v>22</v>
      </c>
      <c r="D304" s="3" t="s">
        <v>9</v>
      </c>
      <c r="E304" s="3" t="s">
        <v>21</v>
      </c>
      <c r="F304" s="3" t="s">
        <v>31</v>
      </c>
      <c r="G304" s="3">
        <v>-843.61</v>
      </c>
      <c r="H304" s="3">
        <v>-848.75</v>
      </c>
      <c r="I304" s="3" t="s">
        <v>40</v>
      </c>
      <c r="J304" s="3">
        <v>10</v>
      </c>
      <c r="K304" s="5">
        <f>actual_vs_target_sales_dataset[[#This Row],[Sales_ Amount]]/actual_vs_target_sales_dataset[[#This Row],[Sales_Target]]</f>
        <v>0.99394403534609721</v>
      </c>
    </row>
    <row r="305" spans="1:11" x14ac:dyDescent="0.3">
      <c r="A305" s="2">
        <v>44865</v>
      </c>
      <c r="B305" s="3" t="s">
        <v>23</v>
      </c>
      <c r="C305" s="3" t="s">
        <v>25</v>
      </c>
      <c r="D305" s="3" t="s">
        <v>18</v>
      </c>
      <c r="E305" s="3" t="s">
        <v>21</v>
      </c>
      <c r="F305" s="3" t="s">
        <v>27</v>
      </c>
      <c r="G305" s="3">
        <v>7183.76</v>
      </c>
      <c r="H305" s="3">
        <v>7070.27</v>
      </c>
      <c r="I305" s="3" t="s">
        <v>40</v>
      </c>
      <c r="J305" s="3">
        <v>10</v>
      </c>
      <c r="K305" s="5">
        <f>actual_vs_target_sales_dataset[[#This Row],[Sales_ Amount]]/actual_vs_target_sales_dataset[[#This Row],[Sales_Target]]</f>
        <v>1.0160517207970841</v>
      </c>
    </row>
    <row r="306" spans="1:11" x14ac:dyDescent="0.3">
      <c r="A306" s="2">
        <v>44866</v>
      </c>
      <c r="B306" s="3" t="s">
        <v>20</v>
      </c>
      <c r="C306" s="3" t="s">
        <v>22</v>
      </c>
      <c r="D306" s="3" t="s">
        <v>15</v>
      </c>
      <c r="E306" s="3" t="s">
        <v>21</v>
      </c>
      <c r="F306" s="3" t="s">
        <v>29</v>
      </c>
      <c r="G306" s="3">
        <v>3340.12</v>
      </c>
      <c r="H306" s="3">
        <v>3460.22</v>
      </c>
      <c r="I306" s="3" t="s">
        <v>41</v>
      </c>
      <c r="J306" s="3">
        <v>11</v>
      </c>
      <c r="K306" s="5">
        <f>actual_vs_target_sales_dataset[[#This Row],[Sales_ Amount]]/actual_vs_target_sales_dataset[[#This Row],[Sales_Target]]</f>
        <v>0.9652912242574172</v>
      </c>
    </row>
    <row r="307" spans="1:11" x14ac:dyDescent="0.3">
      <c r="A307" s="2">
        <v>44867</v>
      </c>
      <c r="B307" s="3" t="s">
        <v>23</v>
      </c>
      <c r="C307" s="3" t="s">
        <v>25</v>
      </c>
      <c r="D307" s="3" t="s">
        <v>18</v>
      </c>
      <c r="E307" s="3" t="s">
        <v>10</v>
      </c>
      <c r="F307" s="3" t="s">
        <v>29</v>
      </c>
      <c r="G307" s="3">
        <v>5206.24</v>
      </c>
      <c r="H307" s="3">
        <v>5321.84</v>
      </c>
      <c r="I307" s="3" t="s">
        <v>41</v>
      </c>
      <c r="J307" s="3">
        <v>11</v>
      </c>
      <c r="K307" s="5">
        <f>actual_vs_target_sales_dataset[[#This Row],[Sales_ Amount]]/actual_vs_target_sales_dataset[[#This Row],[Sales_Target]]</f>
        <v>0.97827818949836887</v>
      </c>
    </row>
    <row r="308" spans="1:11" x14ac:dyDescent="0.3">
      <c r="A308" s="2">
        <v>44868</v>
      </c>
      <c r="B308" s="3" t="s">
        <v>13</v>
      </c>
      <c r="C308" s="3" t="s">
        <v>25</v>
      </c>
      <c r="D308" s="3" t="s">
        <v>15</v>
      </c>
      <c r="E308" s="3" t="s">
        <v>21</v>
      </c>
      <c r="F308" s="3" t="s">
        <v>27</v>
      </c>
      <c r="G308" s="3">
        <v>6259.09</v>
      </c>
      <c r="H308" s="3">
        <v>5750.81</v>
      </c>
      <c r="I308" s="3" t="s">
        <v>41</v>
      </c>
      <c r="J308" s="3">
        <v>11</v>
      </c>
      <c r="K308" s="5">
        <f>actual_vs_target_sales_dataset[[#This Row],[Sales_ Amount]]/actual_vs_target_sales_dataset[[#This Row],[Sales_Target]]</f>
        <v>1.0883840711134605</v>
      </c>
    </row>
    <row r="309" spans="1:11" x14ac:dyDescent="0.3">
      <c r="A309" s="2">
        <v>44869</v>
      </c>
      <c r="B309" s="3" t="s">
        <v>17</v>
      </c>
      <c r="C309" s="3" t="s">
        <v>14</v>
      </c>
      <c r="D309" s="3" t="s">
        <v>15</v>
      </c>
      <c r="E309" s="3" t="s">
        <v>21</v>
      </c>
      <c r="F309" s="3" t="s">
        <v>16</v>
      </c>
      <c r="G309" s="3">
        <v>3359.86</v>
      </c>
      <c r="H309" s="3">
        <v>3261.85</v>
      </c>
      <c r="I309" s="3" t="s">
        <v>41</v>
      </c>
      <c r="J309" s="3">
        <v>11</v>
      </c>
      <c r="K309" s="5">
        <f>actual_vs_target_sales_dataset[[#This Row],[Sales_ Amount]]/actual_vs_target_sales_dataset[[#This Row],[Sales_Target]]</f>
        <v>1.0300473657586953</v>
      </c>
    </row>
    <row r="310" spans="1:11" x14ac:dyDescent="0.3">
      <c r="A310" s="2">
        <v>44870</v>
      </c>
      <c r="B310" s="3" t="s">
        <v>23</v>
      </c>
      <c r="C310" s="3" t="s">
        <v>25</v>
      </c>
      <c r="D310" s="3" t="s">
        <v>18</v>
      </c>
      <c r="E310" s="3" t="s">
        <v>19</v>
      </c>
      <c r="F310" s="3" t="s">
        <v>27</v>
      </c>
      <c r="G310" s="3">
        <v>4819.7</v>
      </c>
      <c r="H310" s="3">
        <v>4880.28</v>
      </c>
      <c r="I310" s="3" t="s">
        <v>41</v>
      </c>
      <c r="J310" s="3">
        <v>11</v>
      </c>
      <c r="K310" s="5">
        <f>actual_vs_target_sales_dataset[[#This Row],[Sales_ Amount]]/actual_vs_target_sales_dataset[[#This Row],[Sales_Target]]</f>
        <v>0.98758677780783066</v>
      </c>
    </row>
    <row r="311" spans="1:11" x14ac:dyDescent="0.3">
      <c r="A311" s="2">
        <v>44871</v>
      </c>
      <c r="B311" s="3" t="s">
        <v>7</v>
      </c>
      <c r="C311" s="3" t="s">
        <v>14</v>
      </c>
      <c r="D311" s="3" t="s">
        <v>9</v>
      </c>
      <c r="E311" s="3" t="s">
        <v>10</v>
      </c>
      <c r="F311" s="3" t="s">
        <v>26</v>
      </c>
      <c r="G311" s="3">
        <v>10674.14</v>
      </c>
      <c r="H311" s="3">
        <v>10763.55</v>
      </c>
      <c r="I311" s="3" t="s">
        <v>41</v>
      </c>
      <c r="J311" s="3">
        <v>11</v>
      </c>
      <c r="K311" s="5">
        <f>actual_vs_target_sales_dataset[[#This Row],[Sales_ Amount]]/actual_vs_target_sales_dataset[[#This Row],[Sales_Target]]</f>
        <v>0.99169326105234801</v>
      </c>
    </row>
    <row r="312" spans="1:11" x14ac:dyDescent="0.3">
      <c r="A312" s="2">
        <v>44872</v>
      </c>
      <c r="B312" s="3" t="s">
        <v>20</v>
      </c>
      <c r="C312" s="3" t="s">
        <v>22</v>
      </c>
      <c r="D312" s="3" t="s">
        <v>9</v>
      </c>
      <c r="E312" s="3" t="s">
        <v>10</v>
      </c>
      <c r="F312" s="3" t="s">
        <v>11</v>
      </c>
      <c r="G312" s="3">
        <v>20470</v>
      </c>
      <c r="H312" s="3">
        <v>19447.45</v>
      </c>
      <c r="I312" s="3" t="s">
        <v>41</v>
      </c>
      <c r="J312" s="3">
        <v>11</v>
      </c>
      <c r="K312" s="5">
        <f>actual_vs_target_sales_dataset[[#This Row],[Sales_ Amount]]/actual_vs_target_sales_dataset[[#This Row],[Sales_Target]]</f>
        <v>1.052580158324099</v>
      </c>
    </row>
    <row r="313" spans="1:11" x14ac:dyDescent="0.3">
      <c r="A313" s="2">
        <v>44873</v>
      </c>
      <c r="B313" s="3" t="s">
        <v>17</v>
      </c>
      <c r="C313" s="3" t="s">
        <v>8</v>
      </c>
      <c r="D313" s="3" t="s">
        <v>18</v>
      </c>
      <c r="E313" s="3" t="s">
        <v>21</v>
      </c>
      <c r="F313" s="3" t="s">
        <v>31</v>
      </c>
      <c r="G313" s="3">
        <v>818.16</v>
      </c>
      <c r="H313" s="3">
        <v>777.88</v>
      </c>
      <c r="I313" s="3" t="s">
        <v>41</v>
      </c>
      <c r="J313" s="3">
        <v>11</v>
      </c>
      <c r="K313" s="5">
        <f>actual_vs_target_sales_dataset[[#This Row],[Sales_ Amount]]/actual_vs_target_sales_dataset[[#This Row],[Sales_Target]]</f>
        <v>1.051781765825063</v>
      </c>
    </row>
    <row r="314" spans="1:11" x14ac:dyDescent="0.3">
      <c r="A314" s="2">
        <v>44874</v>
      </c>
      <c r="B314" s="3" t="s">
        <v>23</v>
      </c>
      <c r="C314" s="3" t="s">
        <v>25</v>
      </c>
      <c r="D314" s="3" t="s">
        <v>15</v>
      </c>
      <c r="E314" s="3" t="s">
        <v>21</v>
      </c>
      <c r="F314" s="3" t="s">
        <v>29</v>
      </c>
      <c r="G314" s="3">
        <v>4294.01</v>
      </c>
      <c r="H314" s="3">
        <v>4298.66</v>
      </c>
      <c r="I314" s="3" t="s">
        <v>41</v>
      </c>
      <c r="J314" s="3">
        <v>11</v>
      </c>
      <c r="K314" s="5">
        <f>actual_vs_target_sales_dataset[[#This Row],[Sales_ Amount]]/actual_vs_target_sales_dataset[[#This Row],[Sales_Target]]</f>
        <v>0.9989182675531445</v>
      </c>
    </row>
    <row r="315" spans="1:11" x14ac:dyDescent="0.3">
      <c r="A315" s="2">
        <v>44875</v>
      </c>
      <c r="B315" s="3" t="s">
        <v>23</v>
      </c>
      <c r="C315" s="3" t="s">
        <v>14</v>
      </c>
      <c r="D315" s="3" t="s">
        <v>9</v>
      </c>
      <c r="E315" s="3" t="s">
        <v>10</v>
      </c>
      <c r="F315" s="3" t="s">
        <v>30</v>
      </c>
      <c r="G315" s="3">
        <v>9253.2000000000007</v>
      </c>
      <c r="H315" s="3">
        <v>8113.88</v>
      </c>
      <c r="I315" s="3" t="s">
        <v>41</v>
      </c>
      <c r="J315" s="3">
        <v>11</v>
      </c>
      <c r="K315" s="5">
        <f>actual_vs_target_sales_dataset[[#This Row],[Sales_ Amount]]/actual_vs_target_sales_dataset[[#This Row],[Sales_Target]]</f>
        <v>1.1404161757383644</v>
      </c>
    </row>
    <row r="316" spans="1:11" x14ac:dyDescent="0.3">
      <c r="A316" s="2">
        <v>44876</v>
      </c>
      <c r="B316" s="3" t="s">
        <v>20</v>
      </c>
      <c r="C316" s="3" t="s">
        <v>25</v>
      </c>
      <c r="D316" s="3" t="s">
        <v>18</v>
      </c>
      <c r="E316" s="3" t="s">
        <v>10</v>
      </c>
      <c r="F316" s="3" t="s">
        <v>30</v>
      </c>
      <c r="G316" s="3">
        <v>-1745.88</v>
      </c>
      <c r="H316" s="3">
        <v>-1741.72</v>
      </c>
      <c r="I316" s="3" t="s">
        <v>41</v>
      </c>
      <c r="J316" s="3">
        <v>11</v>
      </c>
      <c r="K316" s="5">
        <f>actual_vs_target_sales_dataset[[#This Row],[Sales_ Amount]]/actual_vs_target_sales_dataset[[#This Row],[Sales_Target]]</f>
        <v>1.0023884436074686</v>
      </c>
    </row>
    <row r="317" spans="1:11" x14ac:dyDescent="0.3">
      <c r="A317" s="2">
        <v>44877</v>
      </c>
      <c r="B317" s="3" t="s">
        <v>17</v>
      </c>
      <c r="C317" s="3" t="s">
        <v>22</v>
      </c>
      <c r="D317" s="3" t="s">
        <v>24</v>
      </c>
      <c r="E317" s="3" t="s">
        <v>19</v>
      </c>
      <c r="F317" s="3" t="s">
        <v>27</v>
      </c>
      <c r="G317" s="3">
        <v>-2351.96</v>
      </c>
      <c r="H317" s="3">
        <v>-2400.81</v>
      </c>
      <c r="I317" s="3" t="s">
        <v>41</v>
      </c>
      <c r="J317" s="3">
        <v>11</v>
      </c>
      <c r="K317" s="5">
        <f>actual_vs_target_sales_dataset[[#This Row],[Sales_ Amount]]/actual_vs_target_sales_dataset[[#This Row],[Sales_Target]]</f>
        <v>0.97965270054689879</v>
      </c>
    </row>
    <row r="318" spans="1:11" x14ac:dyDescent="0.3">
      <c r="A318" s="2">
        <v>44878</v>
      </c>
      <c r="B318" s="3" t="s">
        <v>23</v>
      </c>
      <c r="C318" s="3" t="s">
        <v>8</v>
      </c>
      <c r="D318" s="3" t="s">
        <v>24</v>
      </c>
      <c r="E318" s="3" t="s">
        <v>19</v>
      </c>
      <c r="F318" s="3" t="s">
        <v>11</v>
      </c>
      <c r="G318" s="3">
        <v>12175.76</v>
      </c>
      <c r="H318" s="3">
        <v>11070.23</v>
      </c>
      <c r="I318" s="3" t="s">
        <v>41</v>
      </c>
      <c r="J318" s="3">
        <v>11</v>
      </c>
      <c r="K318" s="5">
        <f>actual_vs_target_sales_dataset[[#This Row],[Sales_ Amount]]/actual_vs_target_sales_dataset[[#This Row],[Sales_Target]]</f>
        <v>1.0998651337867416</v>
      </c>
    </row>
    <row r="319" spans="1:11" x14ac:dyDescent="0.3">
      <c r="A319" s="2">
        <v>44879</v>
      </c>
      <c r="B319" s="3" t="s">
        <v>7</v>
      </c>
      <c r="C319" s="3" t="s">
        <v>14</v>
      </c>
      <c r="D319" s="3" t="s">
        <v>24</v>
      </c>
      <c r="E319" s="3" t="s">
        <v>19</v>
      </c>
      <c r="F319" s="3" t="s">
        <v>31</v>
      </c>
      <c r="G319" s="3">
        <v>17654.28</v>
      </c>
      <c r="H319" s="3">
        <v>19543.740000000002</v>
      </c>
      <c r="I319" s="3" t="s">
        <v>41</v>
      </c>
      <c r="J319" s="3">
        <v>11</v>
      </c>
      <c r="K319" s="5">
        <f>actual_vs_target_sales_dataset[[#This Row],[Sales_ Amount]]/actual_vs_target_sales_dataset[[#This Row],[Sales_Target]]</f>
        <v>0.90332147275802877</v>
      </c>
    </row>
    <row r="320" spans="1:11" x14ac:dyDescent="0.3">
      <c r="A320" s="2">
        <v>44880</v>
      </c>
      <c r="B320" s="3" t="s">
        <v>17</v>
      </c>
      <c r="C320" s="3" t="s">
        <v>14</v>
      </c>
      <c r="D320" s="3" t="s">
        <v>24</v>
      </c>
      <c r="E320" s="3" t="s">
        <v>10</v>
      </c>
      <c r="F320" s="3" t="s">
        <v>26</v>
      </c>
      <c r="G320" s="3">
        <v>3585.13</v>
      </c>
      <c r="H320" s="3">
        <v>3325.34</v>
      </c>
      <c r="I320" s="3" t="s">
        <v>41</v>
      </c>
      <c r="J320" s="3">
        <v>11</v>
      </c>
      <c r="K320" s="5">
        <f>actual_vs_target_sales_dataset[[#This Row],[Sales_ Amount]]/actual_vs_target_sales_dataset[[#This Row],[Sales_Target]]</f>
        <v>1.0781243421725297</v>
      </c>
    </row>
    <row r="321" spans="1:11" x14ac:dyDescent="0.3">
      <c r="A321" s="2">
        <v>44881</v>
      </c>
      <c r="B321" s="3" t="s">
        <v>7</v>
      </c>
      <c r="C321" s="3" t="s">
        <v>14</v>
      </c>
      <c r="D321" s="3" t="s">
        <v>9</v>
      </c>
      <c r="E321" s="3" t="s">
        <v>19</v>
      </c>
      <c r="F321" s="3" t="s">
        <v>27</v>
      </c>
      <c r="G321" s="3">
        <v>18692.93</v>
      </c>
      <c r="H321" s="3">
        <v>20102.87</v>
      </c>
      <c r="I321" s="3" t="s">
        <v>41</v>
      </c>
      <c r="J321" s="3">
        <v>11</v>
      </c>
      <c r="K321" s="5">
        <f>actual_vs_target_sales_dataset[[#This Row],[Sales_ Amount]]/actual_vs_target_sales_dataset[[#This Row],[Sales_Target]]</f>
        <v>0.92986374582335762</v>
      </c>
    </row>
    <row r="322" spans="1:11" x14ac:dyDescent="0.3">
      <c r="A322" s="2">
        <v>44882</v>
      </c>
      <c r="B322" s="3" t="s">
        <v>20</v>
      </c>
      <c r="C322" s="3" t="s">
        <v>8</v>
      </c>
      <c r="D322" s="3" t="s">
        <v>18</v>
      </c>
      <c r="E322" s="3" t="s">
        <v>10</v>
      </c>
      <c r="F322" s="3" t="s">
        <v>16</v>
      </c>
      <c r="G322" s="3">
        <v>11457.2</v>
      </c>
      <c r="H322" s="3">
        <v>11896.67</v>
      </c>
      <c r="I322" s="3" t="s">
        <v>41</v>
      </c>
      <c r="J322" s="3">
        <v>11</v>
      </c>
      <c r="K322" s="5">
        <f>actual_vs_target_sales_dataset[[#This Row],[Sales_ Amount]]/actual_vs_target_sales_dataset[[#This Row],[Sales_Target]]</f>
        <v>0.9630594107426701</v>
      </c>
    </row>
    <row r="323" spans="1:11" x14ac:dyDescent="0.3">
      <c r="A323" s="2">
        <v>44883</v>
      </c>
      <c r="B323" s="3" t="s">
        <v>23</v>
      </c>
      <c r="C323" s="3" t="s">
        <v>22</v>
      </c>
      <c r="D323" s="3" t="s">
        <v>18</v>
      </c>
      <c r="E323" s="3" t="s">
        <v>21</v>
      </c>
      <c r="F323" s="3" t="s">
        <v>30</v>
      </c>
      <c r="G323" s="3">
        <v>6334.64</v>
      </c>
      <c r="H323" s="3">
        <v>6435.8</v>
      </c>
      <c r="I323" s="3" t="s">
        <v>41</v>
      </c>
      <c r="J323" s="3">
        <v>11</v>
      </c>
      <c r="K323" s="5">
        <f>actual_vs_target_sales_dataset[[#This Row],[Sales_ Amount]]/actual_vs_target_sales_dataset[[#This Row],[Sales_Target]]</f>
        <v>0.98428167438391501</v>
      </c>
    </row>
    <row r="324" spans="1:11" x14ac:dyDescent="0.3">
      <c r="A324" s="2">
        <v>44884</v>
      </c>
      <c r="B324" s="3" t="s">
        <v>7</v>
      </c>
      <c r="C324" s="3" t="s">
        <v>22</v>
      </c>
      <c r="D324" s="3" t="s">
        <v>9</v>
      </c>
      <c r="E324" s="3" t="s">
        <v>21</v>
      </c>
      <c r="F324" s="3" t="s">
        <v>30</v>
      </c>
      <c r="G324" s="3">
        <v>10442.219999999999</v>
      </c>
      <c r="H324" s="3">
        <v>8852.99</v>
      </c>
      <c r="I324" s="3" t="s">
        <v>41</v>
      </c>
      <c r="J324" s="3">
        <v>11</v>
      </c>
      <c r="K324" s="5">
        <f>actual_vs_target_sales_dataset[[#This Row],[Sales_ Amount]]/actual_vs_target_sales_dataset[[#This Row],[Sales_Target]]</f>
        <v>1.179513362152222</v>
      </c>
    </row>
    <row r="325" spans="1:11" x14ac:dyDescent="0.3">
      <c r="A325" s="2">
        <v>44885</v>
      </c>
      <c r="B325" s="3" t="s">
        <v>17</v>
      </c>
      <c r="C325" s="3" t="s">
        <v>22</v>
      </c>
      <c r="D325" s="3" t="s">
        <v>18</v>
      </c>
      <c r="E325" s="3" t="s">
        <v>19</v>
      </c>
      <c r="F325" s="3" t="s">
        <v>26</v>
      </c>
      <c r="G325" s="3">
        <v>11702.92</v>
      </c>
      <c r="H325" s="3">
        <v>11520.04</v>
      </c>
      <c r="I325" s="3" t="s">
        <v>41</v>
      </c>
      <c r="J325" s="3">
        <v>11</v>
      </c>
      <c r="K325" s="5">
        <f>actual_vs_target_sales_dataset[[#This Row],[Sales_ Amount]]/actual_vs_target_sales_dataset[[#This Row],[Sales_Target]]</f>
        <v>1.0158749448786635</v>
      </c>
    </row>
    <row r="326" spans="1:11" x14ac:dyDescent="0.3">
      <c r="A326" s="2">
        <v>44886</v>
      </c>
      <c r="B326" s="3" t="s">
        <v>20</v>
      </c>
      <c r="C326" s="3" t="s">
        <v>8</v>
      </c>
      <c r="D326" s="3" t="s">
        <v>24</v>
      </c>
      <c r="E326" s="3" t="s">
        <v>21</v>
      </c>
      <c r="F326" s="3" t="s">
        <v>28</v>
      </c>
      <c r="G326" s="3">
        <v>15295.93</v>
      </c>
      <c r="H326" s="3">
        <v>15544.14</v>
      </c>
      <c r="I326" s="3" t="s">
        <v>41</v>
      </c>
      <c r="J326" s="3">
        <v>11</v>
      </c>
      <c r="K326" s="5">
        <f>actual_vs_target_sales_dataset[[#This Row],[Sales_ Amount]]/actual_vs_target_sales_dataset[[#This Row],[Sales_Target]]</f>
        <v>0.98403192457093158</v>
      </c>
    </row>
    <row r="327" spans="1:11" x14ac:dyDescent="0.3">
      <c r="A327" s="2">
        <v>44887</v>
      </c>
      <c r="B327" s="3" t="s">
        <v>17</v>
      </c>
      <c r="C327" s="3" t="s">
        <v>14</v>
      </c>
      <c r="D327" s="3" t="s">
        <v>9</v>
      </c>
      <c r="E327" s="3" t="s">
        <v>10</v>
      </c>
      <c r="F327" s="3" t="s">
        <v>11</v>
      </c>
      <c r="G327" s="3">
        <v>4876.87</v>
      </c>
      <c r="H327" s="3">
        <v>4428.93</v>
      </c>
      <c r="I327" s="3" t="s">
        <v>41</v>
      </c>
      <c r="J327" s="3">
        <v>11</v>
      </c>
      <c r="K327" s="5">
        <f>actual_vs_target_sales_dataset[[#This Row],[Sales_ Amount]]/actual_vs_target_sales_dataset[[#This Row],[Sales_Target]]</f>
        <v>1.1011395528942656</v>
      </c>
    </row>
    <row r="328" spans="1:11" x14ac:dyDescent="0.3">
      <c r="A328" s="2">
        <v>44888</v>
      </c>
      <c r="B328" s="3" t="s">
        <v>20</v>
      </c>
      <c r="C328" s="3" t="s">
        <v>14</v>
      </c>
      <c r="D328" s="3" t="s">
        <v>9</v>
      </c>
      <c r="E328" s="3" t="s">
        <v>10</v>
      </c>
      <c r="F328" s="3" t="s">
        <v>28</v>
      </c>
      <c r="G328" s="3">
        <v>27539.55</v>
      </c>
      <c r="H328" s="3">
        <v>28601.07</v>
      </c>
      <c r="I328" s="3" t="s">
        <v>41</v>
      </c>
      <c r="J328" s="3">
        <v>11</v>
      </c>
      <c r="K328" s="5">
        <f>actual_vs_target_sales_dataset[[#This Row],[Sales_ Amount]]/actual_vs_target_sales_dataset[[#This Row],[Sales_Target]]</f>
        <v>0.96288530464070043</v>
      </c>
    </row>
    <row r="329" spans="1:11" x14ac:dyDescent="0.3">
      <c r="A329" s="2">
        <v>44889</v>
      </c>
      <c r="B329" s="3" t="s">
        <v>23</v>
      </c>
      <c r="C329" s="3" t="s">
        <v>22</v>
      </c>
      <c r="D329" s="3" t="s">
        <v>18</v>
      </c>
      <c r="E329" s="3" t="s">
        <v>10</v>
      </c>
      <c r="F329" s="3" t="s">
        <v>27</v>
      </c>
      <c r="G329" s="3">
        <v>7738.16</v>
      </c>
      <c r="H329" s="3">
        <v>7770.41</v>
      </c>
      <c r="I329" s="3" t="s">
        <v>41</v>
      </c>
      <c r="J329" s="3">
        <v>11</v>
      </c>
      <c r="K329" s="5">
        <f>actual_vs_target_sales_dataset[[#This Row],[Sales_ Amount]]/actual_vs_target_sales_dataset[[#This Row],[Sales_Target]]</f>
        <v>0.99584963985169384</v>
      </c>
    </row>
    <row r="330" spans="1:11" x14ac:dyDescent="0.3">
      <c r="A330" s="2">
        <v>44890</v>
      </c>
      <c r="B330" s="3" t="s">
        <v>23</v>
      </c>
      <c r="C330" s="3" t="s">
        <v>25</v>
      </c>
      <c r="D330" s="3" t="s">
        <v>18</v>
      </c>
      <c r="E330" s="3" t="s">
        <v>19</v>
      </c>
      <c r="F330" s="3" t="s">
        <v>31</v>
      </c>
      <c r="G330" s="3">
        <v>10683.96</v>
      </c>
      <c r="H330" s="3">
        <v>11092.12</v>
      </c>
      <c r="I330" s="3" t="s">
        <v>41</v>
      </c>
      <c r="J330" s="3">
        <v>11</v>
      </c>
      <c r="K330" s="5">
        <f>actual_vs_target_sales_dataset[[#This Row],[Sales_ Amount]]/actual_vs_target_sales_dataset[[#This Row],[Sales_Target]]</f>
        <v>0.96320270606520653</v>
      </c>
    </row>
    <row r="331" spans="1:11" x14ac:dyDescent="0.3">
      <c r="A331" s="2">
        <v>44891</v>
      </c>
      <c r="B331" s="3" t="s">
        <v>7</v>
      </c>
      <c r="C331" s="3" t="s">
        <v>8</v>
      </c>
      <c r="D331" s="3" t="s">
        <v>15</v>
      </c>
      <c r="E331" s="3" t="s">
        <v>19</v>
      </c>
      <c r="F331" s="3" t="s">
        <v>11</v>
      </c>
      <c r="G331" s="3">
        <v>8731.5499999999993</v>
      </c>
      <c r="H331" s="3">
        <v>8805.41</v>
      </c>
      <c r="I331" s="3" t="s">
        <v>41</v>
      </c>
      <c r="J331" s="3">
        <v>11</v>
      </c>
      <c r="K331" s="5">
        <f>actual_vs_target_sales_dataset[[#This Row],[Sales_ Amount]]/actual_vs_target_sales_dataset[[#This Row],[Sales_Target]]</f>
        <v>0.9916119749108786</v>
      </c>
    </row>
    <row r="332" spans="1:11" x14ac:dyDescent="0.3">
      <c r="A332" s="2">
        <v>44892</v>
      </c>
      <c r="B332" s="3" t="s">
        <v>13</v>
      </c>
      <c r="C332" s="3" t="s">
        <v>22</v>
      </c>
      <c r="D332" s="3" t="s">
        <v>9</v>
      </c>
      <c r="E332" s="3" t="s">
        <v>10</v>
      </c>
      <c r="F332" s="3" t="s">
        <v>31</v>
      </c>
      <c r="G332" s="3">
        <v>-2681.68</v>
      </c>
      <c r="H332" s="3">
        <v>-2914.83</v>
      </c>
      <c r="I332" s="3" t="s">
        <v>41</v>
      </c>
      <c r="J332" s="3">
        <v>11</v>
      </c>
      <c r="K332" s="5">
        <f>actual_vs_target_sales_dataset[[#This Row],[Sales_ Amount]]/actual_vs_target_sales_dataset[[#This Row],[Sales_Target]]</f>
        <v>0.9200124878637862</v>
      </c>
    </row>
    <row r="333" spans="1:11" x14ac:dyDescent="0.3">
      <c r="A333" s="2">
        <v>44893</v>
      </c>
      <c r="B333" s="3" t="s">
        <v>20</v>
      </c>
      <c r="C333" s="3" t="s">
        <v>25</v>
      </c>
      <c r="D333" s="3" t="s">
        <v>18</v>
      </c>
      <c r="E333" s="3" t="s">
        <v>10</v>
      </c>
      <c r="F333" s="3" t="s">
        <v>28</v>
      </c>
      <c r="G333" s="3">
        <v>14168.17</v>
      </c>
      <c r="H333" s="3">
        <v>15516.72</v>
      </c>
      <c r="I333" s="3" t="s">
        <v>41</v>
      </c>
      <c r="J333" s="3">
        <v>11</v>
      </c>
      <c r="K333" s="5">
        <f>actual_vs_target_sales_dataset[[#This Row],[Sales_ Amount]]/actual_vs_target_sales_dataset[[#This Row],[Sales_Target]]</f>
        <v>0.91309052428606052</v>
      </c>
    </row>
    <row r="334" spans="1:11" x14ac:dyDescent="0.3">
      <c r="A334" s="2">
        <v>44894</v>
      </c>
      <c r="B334" s="3" t="s">
        <v>20</v>
      </c>
      <c r="C334" s="3" t="s">
        <v>22</v>
      </c>
      <c r="D334" s="3" t="s">
        <v>9</v>
      </c>
      <c r="E334" s="3" t="s">
        <v>10</v>
      </c>
      <c r="F334" s="3" t="s">
        <v>11</v>
      </c>
      <c r="G334" s="3">
        <v>-695.07</v>
      </c>
      <c r="H334" s="3">
        <v>-657.67</v>
      </c>
      <c r="I334" s="3" t="s">
        <v>41</v>
      </c>
      <c r="J334" s="3">
        <v>11</v>
      </c>
      <c r="K334" s="5">
        <f>actual_vs_target_sales_dataset[[#This Row],[Sales_ Amount]]/actual_vs_target_sales_dataset[[#This Row],[Sales_Target]]</f>
        <v>1.056867425912692</v>
      </c>
    </row>
    <row r="335" spans="1:11" x14ac:dyDescent="0.3">
      <c r="A335" s="2">
        <v>44895</v>
      </c>
      <c r="B335" s="3" t="s">
        <v>7</v>
      </c>
      <c r="C335" s="3" t="s">
        <v>8</v>
      </c>
      <c r="D335" s="3" t="s">
        <v>9</v>
      </c>
      <c r="E335" s="3" t="s">
        <v>10</v>
      </c>
      <c r="F335" s="3" t="s">
        <v>26</v>
      </c>
      <c r="G335" s="3">
        <v>9235.93</v>
      </c>
      <c r="H335" s="3">
        <v>9014.0400000000009</v>
      </c>
      <c r="I335" s="3" t="s">
        <v>41</v>
      </c>
      <c r="J335" s="3">
        <v>11</v>
      </c>
      <c r="K335" s="5">
        <f>actual_vs_target_sales_dataset[[#This Row],[Sales_ Amount]]/actual_vs_target_sales_dataset[[#This Row],[Sales_Target]]</f>
        <v>1.0246160434167142</v>
      </c>
    </row>
    <row r="336" spans="1:11" x14ac:dyDescent="0.3">
      <c r="A336" s="2">
        <v>44896</v>
      </c>
      <c r="B336" s="3" t="s">
        <v>13</v>
      </c>
      <c r="C336" s="3" t="s">
        <v>22</v>
      </c>
      <c r="D336" s="3" t="s">
        <v>18</v>
      </c>
      <c r="E336" s="3" t="s">
        <v>19</v>
      </c>
      <c r="F336" s="3" t="s">
        <v>26</v>
      </c>
      <c r="G336" s="3">
        <v>7351.81</v>
      </c>
      <c r="H336" s="3">
        <v>7967.55</v>
      </c>
      <c r="I336" s="3" t="s">
        <v>42</v>
      </c>
      <c r="J336" s="3">
        <v>12</v>
      </c>
      <c r="K336" s="5">
        <f>actual_vs_target_sales_dataset[[#This Row],[Sales_ Amount]]/actual_vs_target_sales_dataset[[#This Row],[Sales_Target]]</f>
        <v>0.92271902906163128</v>
      </c>
    </row>
    <row r="337" spans="1:11" x14ac:dyDescent="0.3">
      <c r="A337" s="2">
        <v>44897</v>
      </c>
      <c r="B337" s="3" t="s">
        <v>13</v>
      </c>
      <c r="C337" s="3" t="s">
        <v>14</v>
      </c>
      <c r="D337" s="3" t="s">
        <v>24</v>
      </c>
      <c r="E337" s="3" t="s">
        <v>19</v>
      </c>
      <c r="F337" s="3" t="s">
        <v>26</v>
      </c>
      <c r="G337" s="3">
        <v>-648.53</v>
      </c>
      <c r="H337" s="3">
        <v>-727.51</v>
      </c>
      <c r="I337" s="3" t="s">
        <v>42</v>
      </c>
      <c r="J337" s="3">
        <v>12</v>
      </c>
      <c r="K337" s="5">
        <f>actual_vs_target_sales_dataset[[#This Row],[Sales_ Amount]]/actual_vs_target_sales_dataset[[#This Row],[Sales_Target]]</f>
        <v>0.89143791837912878</v>
      </c>
    </row>
    <row r="338" spans="1:11" x14ac:dyDescent="0.3">
      <c r="A338" s="2">
        <v>44898</v>
      </c>
      <c r="B338" s="3" t="s">
        <v>17</v>
      </c>
      <c r="C338" s="3" t="s">
        <v>25</v>
      </c>
      <c r="D338" s="3" t="s">
        <v>9</v>
      </c>
      <c r="E338" s="3" t="s">
        <v>10</v>
      </c>
      <c r="F338" s="3" t="s">
        <v>27</v>
      </c>
      <c r="G338" s="3">
        <v>-5062.96</v>
      </c>
      <c r="H338" s="3">
        <v>-5630.07</v>
      </c>
      <c r="I338" s="3" t="s">
        <v>42</v>
      </c>
      <c r="J338" s="3">
        <v>12</v>
      </c>
      <c r="K338" s="5">
        <f>actual_vs_target_sales_dataset[[#This Row],[Sales_ Amount]]/actual_vs_target_sales_dataset[[#This Row],[Sales_Target]]</f>
        <v>0.89927123463829051</v>
      </c>
    </row>
    <row r="339" spans="1:11" x14ac:dyDescent="0.3">
      <c r="A339" s="2">
        <v>44899</v>
      </c>
      <c r="B339" s="3" t="s">
        <v>13</v>
      </c>
      <c r="C339" s="3" t="s">
        <v>8</v>
      </c>
      <c r="D339" s="3" t="s">
        <v>9</v>
      </c>
      <c r="E339" s="3" t="s">
        <v>10</v>
      </c>
      <c r="F339" s="3" t="s">
        <v>28</v>
      </c>
      <c r="G339" s="3">
        <v>-6001.39</v>
      </c>
      <c r="H339" s="3">
        <v>-6873.61</v>
      </c>
      <c r="I339" s="3" t="s">
        <v>42</v>
      </c>
      <c r="J339" s="3">
        <v>12</v>
      </c>
      <c r="K339" s="5">
        <f>actual_vs_target_sales_dataset[[#This Row],[Sales_ Amount]]/actual_vs_target_sales_dataset[[#This Row],[Sales_Target]]</f>
        <v>0.87310598070009804</v>
      </c>
    </row>
    <row r="340" spans="1:11" x14ac:dyDescent="0.3">
      <c r="A340" s="2">
        <v>44900</v>
      </c>
      <c r="B340" s="3" t="s">
        <v>7</v>
      </c>
      <c r="C340" s="3" t="s">
        <v>25</v>
      </c>
      <c r="D340" s="3" t="s">
        <v>18</v>
      </c>
      <c r="E340" s="3" t="s">
        <v>21</v>
      </c>
      <c r="F340" s="3" t="s">
        <v>27</v>
      </c>
      <c r="G340" s="3">
        <v>2476.66</v>
      </c>
      <c r="H340" s="3">
        <v>2702.67</v>
      </c>
      <c r="I340" s="3" t="s">
        <v>42</v>
      </c>
      <c r="J340" s="3">
        <v>12</v>
      </c>
      <c r="K340" s="5">
        <f>actual_vs_target_sales_dataset[[#This Row],[Sales_ Amount]]/actual_vs_target_sales_dataset[[#This Row],[Sales_Target]]</f>
        <v>0.91637528814098645</v>
      </c>
    </row>
    <row r="341" spans="1:11" x14ac:dyDescent="0.3">
      <c r="A341" s="2">
        <v>44901</v>
      </c>
      <c r="B341" s="3" t="s">
        <v>23</v>
      </c>
      <c r="C341" s="3" t="s">
        <v>8</v>
      </c>
      <c r="D341" s="3" t="s">
        <v>9</v>
      </c>
      <c r="E341" s="3" t="s">
        <v>19</v>
      </c>
      <c r="F341" s="3" t="s">
        <v>29</v>
      </c>
      <c r="G341" s="3">
        <v>11330.01</v>
      </c>
      <c r="H341" s="3">
        <v>9683.2900000000009</v>
      </c>
      <c r="I341" s="3" t="s">
        <v>42</v>
      </c>
      <c r="J341" s="3">
        <v>12</v>
      </c>
      <c r="K341" s="5">
        <f>actual_vs_target_sales_dataset[[#This Row],[Sales_ Amount]]/actual_vs_target_sales_dataset[[#This Row],[Sales_Target]]</f>
        <v>1.1700579038735801</v>
      </c>
    </row>
    <row r="342" spans="1:11" x14ac:dyDescent="0.3">
      <c r="A342" s="2">
        <v>44902</v>
      </c>
      <c r="B342" s="3" t="s">
        <v>20</v>
      </c>
      <c r="C342" s="3" t="s">
        <v>8</v>
      </c>
      <c r="D342" s="3" t="s">
        <v>15</v>
      </c>
      <c r="E342" s="3" t="s">
        <v>21</v>
      </c>
      <c r="F342" s="3" t="s">
        <v>29</v>
      </c>
      <c r="G342" s="3">
        <v>-3282.89</v>
      </c>
      <c r="H342" s="3">
        <v>-3644.11</v>
      </c>
      <c r="I342" s="3" t="s">
        <v>42</v>
      </c>
      <c r="J342" s="3">
        <v>12</v>
      </c>
      <c r="K342" s="5">
        <f>actual_vs_target_sales_dataset[[#This Row],[Sales_ Amount]]/actual_vs_target_sales_dataset[[#This Row],[Sales_Target]]</f>
        <v>0.90087565962608152</v>
      </c>
    </row>
    <row r="343" spans="1:11" x14ac:dyDescent="0.3">
      <c r="A343" s="2">
        <v>44903</v>
      </c>
      <c r="B343" s="3" t="s">
        <v>7</v>
      </c>
      <c r="C343" s="3" t="s">
        <v>8</v>
      </c>
      <c r="D343" s="3" t="s">
        <v>18</v>
      </c>
      <c r="E343" s="3" t="s">
        <v>19</v>
      </c>
      <c r="F343" s="3" t="s">
        <v>11</v>
      </c>
      <c r="G343" s="3">
        <v>9194.99</v>
      </c>
      <c r="H343" s="3">
        <v>8188.8</v>
      </c>
      <c r="I343" s="3" t="s">
        <v>42</v>
      </c>
      <c r="J343" s="3">
        <v>12</v>
      </c>
      <c r="K343" s="5">
        <f>actual_vs_target_sales_dataset[[#This Row],[Sales_ Amount]]/actual_vs_target_sales_dataset[[#This Row],[Sales_Target]]</f>
        <v>1.1228739253614692</v>
      </c>
    </row>
    <row r="344" spans="1:11" x14ac:dyDescent="0.3">
      <c r="A344" s="2">
        <v>44904</v>
      </c>
      <c r="B344" s="3" t="s">
        <v>13</v>
      </c>
      <c r="C344" s="3" t="s">
        <v>8</v>
      </c>
      <c r="D344" s="3" t="s">
        <v>9</v>
      </c>
      <c r="E344" s="3" t="s">
        <v>21</v>
      </c>
      <c r="F344" s="3" t="s">
        <v>30</v>
      </c>
      <c r="G344" s="3">
        <v>7975.64</v>
      </c>
      <c r="H344" s="3">
        <v>8099.83</v>
      </c>
      <c r="I344" s="3" t="s">
        <v>42</v>
      </c>
      <c r="J344" s="3">
        <v>12</v>
      </c>
      <c r="K344" s="5">
        <f>actual_vs_target_sales_dataset[[#This Row],[Sales_ Amount]]/actual_vs_target_sales_dataset[[#This Row],[Sales_Target]]</f>
        <v>0.98466757944302541</v>
      </c>
    </row>
    <row r="345" spans="1:11" x14ac:dyDescent="0.3">
      <c r="A345" s="2">
        <v>44905</v>
      </c>
      <c r="B345" s="3" t="s">
        <v>23</v>
      </c>
      <c r="C345" s="3" t="s">
        <v>22</v>
      </c>
      <c r="D345" s="3" t="s">
        <v>9</v>
      </c>
      <c r="E345" s="3" t="s">
        <v>19</v>
      </c>
      <c r="F345" s="3" t="s">
        <v>29</v>
      </c>
      <c r="G345" s="3">
        <v>11618.88</v>
      </c>
      <c r="H345" s="3">
        <v>11651.35</v>
      </c>
      <c r="I345" s="3" t="s">
        <v>42</v>
      </c>
      <c r="J345" s="3">
        <v>12</v>
      </c>
      <c r="K345" s="5">
        <f>actual_vs_target_sales_dataset[[#This Row],[Sales_ Amount]]/actual_vs_target_sales_dataset[[#This Row],[Sales_Target]]</f>
        <v>0.99721319847056344</v>
      </c>
    </row>
    <row r="346" spans="1:11" x14ac:dyDescent="0.3">
      <c r="A346" s="2">
        <v>44906</v>
      </c>
      <c r="B346" s="3" t="s">
        <v>13</v>
      </c>
      <c r="C346" s="3" t="s">
        <v>25</v>
      </c>
      <c r="D346" s="3" t="s">
        <v>9</v>
      </c>
      <c r="E346" s="3" t="s">
        <v>19</v>
      </c>
      <c r="F346" s="3" t="s">
        <v>30</v>
      </c>
      <c r="G346" s="3">
        <v>15573.74</v>
      </c>
      <c r="H346" s="3">
        <v>16865.240000000002</v>
      </c>
      <c r="I346" s="3" t="s">
        <v>42</v>
      </c>
      <c r="J346" s="3">
        <v>12</v>
      </c>
      <c r="K346" s="5">
        <f>actual_vs_target_sales_dataset[[#This Row],[Sales_ Amount]]/actual_vs_target_sales_dataset[[#This Row],[Sales_Target]]</f>
        <v>0.92342237643816505</v>
      </c>
    </row>
    <row r="347" spans="1:11" x14ac:dyDescent="0.3">
      <c r="A347" s="2">
        <v>44907</v>
      </c>
      <c r="B347" s="3" t="s">
        <v>7</v>
      </c>
      <c r="C347" s="3" t="s">
        <v>25</v>
      </c>
      <c r="D347" s="3" t="s">
        <v>18</v>
      </c>
      <c r="E347" s="3" t="s">
        <v>19</v>
      </c>
      <c r="F347" s="3" t="s">
        <v>30</v>
      </c>
      <c r="G347" s="3">
        <v>652.79999999999995</v>
      </c>
      <c r="H347" s="3">
        <v>706.48</v>
      </c>
      <c r="I347" s="3" t="s">
        <v>42</v>
      </c>
      <c r="J347" s="3">
        <v>12</v>
      </c>
      <c r="K347" s="5">
        <f>actual_vs_target_sales_dataset[[#This Row],[Sales_ Amount]]/actual_vs_target_sales_dataset[[#This Row],[Sales_Target]]</f>
        <v>0.92401766504359628</v>
      </c>
    </row>
    <row r="348" spans="1:11" x14ac:dyDescent="0.3">
      <c r="A348" s="2">
        <v>44908</v>
      </c>
      <c r="B348" s="3" t="s">
        <v>7</v>
      </c>
      <c r="C348" s="3" t="s">
        <v>14</v>
      </c>
      <c r="D348" s="3" t="s">
        <v>15</v>
      </c>
      <c r="E348" s="3" t="s">
        <v>19</v>
      </c>
      <c r="F348" s="3" t="s">
        <v>26</v>
      </c>
      <c r="G348" s="3">
        <v>2650.16</v>
      </c>
      <c r="H348" s="3">
        <v>2686.99</v>
      </c>
      <c r="I348" s="3" t="s">
        <v>42</v>
      </c>
      <c r="J348" s="3">
        <v>12</v>
      </c>
      <c r="K348" s="5">
        <f>actual_vs_target_sales_dataset[[#This Row],[Sales_ Amount]]/actual_vs_target_sales_dataset[[#This Row],[Sales_Target]]</f>
        <v>0.98629321285155513</v>
      </c>
    </row>
    <row r="349" spans="1:11" x14ac:dyDescent="0.3">
      <c r="A349" s="2">
        <v>44909</v>
      </c>
      <c r="B349" s="3" t="s">
        <v>7</v>
      </c>
      <c r="C349" s="3" t="s">
        <v>22</v>
      </c>
      <c r="D349" s="3" t="s">
        <v>9</v>
      </c>
      <c r="E349" s="3" t="s">
        <v>21</v>
      </c>
      <c r="F349" s="3" t="s">
        <v>16</v>
      </c>
      <c r="G349" s="3">
        <v>-5299.58</v>
      </c>
      <c r="H349" s="3">
        <v>-5153.0600000000004</v>
      </c>
      <c r="I349" s="3" t="s">
        <v>42</v>
      </c>
      <c r="J349" s="3">
        <v>12</v>
      </c>
      <c r="K349" s="5">
        <f>actual_vs_target_sales_dataset[[#This Row],[Sales_ Amount]]/actual_vs_target_sales_dataset[[#This Row],[Sales_Target]]</f>
        <v>1.0284335909149127</v>
      </c>
    </row>
    <row r="350" spans="1:11" x14ac:dyDescent="0.3">
      <c r="A350" s="2">
        <v>44910</v>
      </c>
      <c r="B350" s="3" t="s">
        <v>13</v>
      </c>
      <c r="C350" s="3" t="s">
        <v>25</v>
      </c>
      <c r="D350" s="3" t="s">
        <v>15</v>
      </c>
      <c r="E350" s="3" t="s">
        <v>10</v>
      </c>
      <c r="F350" s="3" t="s">
        <v>16</v>
      </c>
      <c r="G350" s="3">
        <v>10654.47</v>
      </c>
      <c r="H350" s="3">
        <v>11562.4</v>
      </c>
      <c r="I350" s="3" t="s">
        <v>42</v>
      </c>
      <c r="J350" s="3">
        <v>12</v>
      </c>
      <c r="K350" s="5">
        <f>actual_vs_target_sales_dataset[[#This Row],[Sales_ Amount]]/actual_vs_target_sales_dataset[[#This Row],[Sales_Target]]</f>
        <v>0.92147564519476921</v>
      </c>
    </row>
    <row r="351" spans="1:11" x14ac:dyDescent="0.3">
      <c r="A351" s="2">
        <v>44911</v>
      </c>
      <c r="B351" s="3" t="s">
        <v>13</v>
      </c>
      <c r="C351" s="3" t="s">
        <v>8</v>
      </c>
      <c r="D351" s="3" t="s">
        <v>15</v>
      </c>
      <c r="E351" s="3" t="s">
        <v>19</v>
      </c>
      <c r="F351" s="3" t="s">
        <v>26</v>
      </c>
      <c r="G351" s="3">
        <v>10179.5</v>
      </c>
      <c r="H351" s="3">
        <v>9615.6299999999992</v>
      </c>
      <c r="I351" s="3" t="s">
        <v>42</v>
      </c>
      <c r="J351" s="3">
        <v>12</v>
      </c>
      <c r="K351" s="5">
        <f>actual_vs_target_sales_dataset[[#This Row],[Sales_ Amount]]/actual_vs_target_sales_dataset[[#This Row],[Sales_Target]]</f>
        <v>1.0586409834821016</v>
      </c>
    </row>
    <row r="352" spans="1:11" x14ac:dyDescent="0.3">
      <c r="A352" s="2">
        <v>44912</v>
      </c>
      <c r="B352" s="3" t="s">
        <v>23</v>
      </c>
      <c r="C352" s="3" t="s">
        <v>8</v>
      </c>
      <c r="D352" s="3" t="s">
        <v>9</v>
      </c>
      <c r="E352" s="3" t="s">
        <v>21</v>
      </c>
      <c r="F352" s="3" t="s">
        <v>26</v>
      </c>
      <c r="G352" s="3">
        <v>19741.330000000002</v>
      </c>
      <c r="H352" s="3">
        <v>18353.18</v>
      </c>
      <c r="I352" s="3" t="s">
        <v>42</v>
      </c>
      <c r="J352" s="3">
        <v>12</v>
      </c>
      <c r="K352" s="5">
        <f>actual_vs_target_sales_dataset[[#This Row],[Sales_ Amount]]/actual_vs_target_sales_dataset[[#This Row],[Sales_Target]]</f>
        <v>1.075635393975322</v>
      </c>
    </row>
    <row r="353" spans="1:11" x14ac:dyDescent="0.3">
      <c r="A353" s="2">
        <v>44913</v>
      </c>
      <c r="B353" s="3" t="s">
        <v>23</v>
      </c>
      <c r="C353" s="3" t="s">
        <v>25</v>
      </c>
      <c r="D353" s="3" t="s">
        <v>24</v>
      </c>
      <c r="E353" s="3" t="s">
        <v>21</v>
      </c>
      <c r="F353" s="3" t="s">
        <v>11</v>
      </c>
      <c r="G353" s="3">
        <v>11895.46</v>
      </c>
      <c r="H353" s="3">
        <v>11065.88</v>
      </c>
      <c r="I353" s="3" t="s">
        <v>42</v>
      </c>
      <c r="J353" s="3">
        <v>12</v>
      </c>
      <c r="K353" s="5">
        <f>actual_vs_target_sales_dataset[[#This Row],[Sales_ Amount]]/actual_vs_target_sales_dataset[[#This Row],[Sales_Target]]</f>
        <v>1.0749673771991022</v>
      </c>
    </row>
    <row r="354" spans="1:11" x14ac:dyDescent="0.3">
      <c r="A354" s="2">
        <v>44914</v>
      </c>
      <c r="B354" s="3" t="s">
        <v>17</v>
      </c>
      <c r="C354" s="3" t="s">
        <v>22</v>
      </c>
      <c r="D354" s="3" t="s">
        <v>9</v>
      </c>
      <c r="E354" s="3" t="s">
        <v>21</v>
      </c>
      <c r="F354" s="3" t="s">
        <v>28</v>
      </c>
      <c r="G354" s="3">
        <v>9612.27</v>
      </c>
      <c r="H354" s="3">
        <v>8976.99</v>
      </c>
      <c r="I354" s="3" t="s">
        <v>42</v>
      </c>
      <c r="J354" s="3">
        <v>12</v>
      </c>
      <c r="K354" s="5">
        <f>actual_vs_target_sales_dataset[[#This Row],[Sales_ Amount]]/actual_vs_target_sales_dataset[[#This Row],[Sales_Target]]</f>
        <v>1.0707675958199798</v>
      </c>
    </row>
    <row r="355" spans="1:11" x14ac:dyDescent="0.3">
      <c r="A355" s="2">
        <v>44915</v>
      </c>
      <c r="B355" s="3" t="s">
        <v>13</v>
      </c>
      <c r="C355" s="3" t="s">
        <v>22</v>
      </c>
      <c r="D355" s="3" t="s">
        <v>9</v>
      </c>
      <c r="E355" s="3" t="s">
        <v>21</v>
      </c>
      <c r="F355" s="3" t="s">
        <v>27</v>
      </c>
      <c r="G355" s="3">
        <v>14319.28</v>
      </c>
      <c r="H355" s="3">
        <v>13905.4</v>
      </c>
      <c r="I355" s="3" t="s">
        <v>42</v>
      </c>
      <c r="J355" s="3">
        <v>12</v>
      </c>
      <c r="K355" s="5">
        <f>actual_vs_target_sales_dataset[[#This Row],[Sales_ Amount]]/actual_vs_target_sales_dataset[[#This Row],[Sales_Target]]</f>
        <v>1.0297639765846363</v>
      </c>
    </row>
    <row r="356" spans="1:11" x14ac:dyDescent="0.3">
      <c r="A356" s="2">
        <v>44916</v>
      </c>
      <c r="B356" s="3" t="s">
        <v>13</v>
      </c>
      <c r="C356" s="3" t="s">
        <v>22</v>
      </c>
      <c r="D356" s="3" t="s">
        <v>24</v>
      </c>
      <c r="E356" s="3" t="s">
        <v>19</v>
      </c>
      <c r="F356" s="3" t="s">
        <v>30</v>
      </c>
      <c r="G356" s="3">
        <v>4942.99</v>
      </c>
      <c r="H356" s="3">
        <v>4803.26</v>
      </c>
      <c r="I356" s="3" t="s">
        <v>42</v>
      </c>
      <c r="J356" s="3">
        <v>12</v>
      </c>
      <c r="K356" s="5">
        <f>actual_vs_target_sales_dataset[[#This Row],[Sales_ Amount]]/actual_vs_target_sales_dataset[[#This Row],[Sales_Target]]</f>
        <v>1.0290906592605855</v>
      </c>
    </row>
    <row r="357" spans="1:11" x14ac:dyDescent="0.3">
      <c r="A357" s="2">
        <v>44917</v>
      </c>
      <c r="B357" s="3" t="s">
        <v>7</v>
      </c>
      <c r="C357" s="3" t="s">
        <v>14</v>
      </c>
      <c r="D357" s="3" t="s">
        <v>24</v>
      </c>
      <c r="E357" s="3" t="s">
        <v>21</v>
      </c>
      <c r="F357" s="3" t="s">
        <v>30</v>
      </c>
      <c r="G357" s="3">
        <v>-2848.61</v>
      </c>
      <c r="H357" s="3">
        <v>-2940.88</v>
      </c>
      <c r="I357" s="3" t="s">
        <v>42</v>
      </c>
      <c r="J357" s="3">
        <v>12</v>
      </c>
      <c r="K357" s="5">
        <f>actual_vs_target_sales_dataset[[#This Row],[Sales_ Amount]]/actual_vs_target_sales_dataset[[#This Row],[Sales_Target]]</f>
        <v>0.96862503740377026</v>
      </c>
    </row>
    <row r="358" spans="1:11" x14ac:dyDescent="0.3">
      <c r="A358" s="2">
        <v>44918</v>
      </c>
      <c r="B358" s="3" t="s">
        <v>13</v>
      </c>
      <c r="C358" s="3" t="s">
        <v>8</v>
      </c>
      <c r="D358" s="3" t="s">
        <v>18</v>
      </c>
      <c r="E358" s="3" t="s">
        <v>21</v>
      </c>
      <c r="F358" s="3" t="s">
        <v>28</v>
      </c>
      <c r="G358" s="3">
        <v>5832.86</v>
      </c>
      <c r="H358" s="3">
        <v>6583.52</v>
      </c>
      <c r="I358" s="3" t="s">
        <v>42</v>
      </c>
      <c r="J358" s="3">
        <v>12</v>
      </c>
      <c r="K358" s="5">
        <f>actual_vs_target_sales_dataset[[#This Row],[Sales_ Amount]]/actual_vs_target_sales_dataset[[#This Row],[Sales_Target]]</f>
        <v>0.88597892920504517</v>
      </c>
    </row>
    <row r="359" spans="1:11" x14ac:dyDescent="0.3">
      <c r="A359" s="2">
        <v>44919</v>
      </c>
      <c r="B359" s="3" t="s">
        <v>23</v>
      </c>
      <c r="C359" s="3" t="s">
        <v>8</v>
      </c>
      <c r="D359" s="3" t="s">
        <v>9</v>
      </c>
      <c r="E359" s="3" t="s">
        <v>10</v>
      </c>
      <c r="F359" s="3" t="s">
        <v>11</v>
      </c>
      <c r="G359" s="3">
        <v>2483.8000000000002</v>
      </c>
      <c r="H359" s="3">
        <v>2690.93</v>
      </c>
      <c r="I359" s="3" t="s">
        <v>42</v>
      </c>
      <c r="J359" s="3">
        <v>12</v>
      </c>
      <c r="K359" s="5">
        <f>actual_vs_target_sales_dataset[[#This Row],[Sales_ Amount]]/actual_vs_target_sales_dataset[[#This Row],[Sales_Target]]</f>
        <v>0.92302661161754496</v>
      </c>
    </row>
    <row r="360" spans="1:11" x14ac:dyDescent="0.3">
      <c r="A360" s="2">
        <v>44920</v>
      </c>
      <c r="B360" s="3" t="s">
        <v>17</v>
      </c>
      <c r="C360" s="3" t="s">
        <v>25</v>
      </c>
      <c r="D360" s="3" t="s">
        <v>18</v>
      </c>
      <c r="E360" s="3" t="s">
        <v>10</v>
      </c>
      <c r="F360" s="3" t="s">
        <v>27</v>
      </c>
      <c r="G360" s="3">
        <v>846.58</v>
      </c>
      <c r="H360" s="3">
        <v>838.07</v>
      </c>
      <c r="I360" s="3" t="s">
        <v>42</v>
      </c>
      <c r="J360" s="3">
        <v>12</v>
      </c>
      <c r="K360" s="5">
        <f>actual_vs_target_sales_dataset[[#This Row],[Sales_ Amount]]/actual_vs_target_sales_dataset[[#This Row],[Sales_Target]]</f>
        <v>1.0101542830551147</v>
      </c>
    </row>
    <row r="361" spans="1:11" x14ac:dyDescent="0.3">
      <c r="A361" s="2">
        <v>44921</v>
      </c>
      <c r="B361" s="3" t="s">
        <v>17</v>
      </c>
      <c r="C361" s="3" t="s">
        <v>8</v>
      </c>
      <c r="D361" s="3" t="s">
        <v>9</v>
      </c>
      <c r="E361" s="3" t="s">
        <v>19</v>
      </c>
      <c r="F361" s="3" t="s">
        <v>26</v>
      </c>
      <c r="G361" s="3">
        <v>-1566.7</v>
      </c>
      <c r="H361" s="3">
        <v>-1756.4</v>
      </c>
      <c r="I361" s="3" t="s">
        <v>42</v>
      </c>
      <c r="J361" s="3">
        <v>12</v>
      </c>
      <c r="K361" s="5">
        <f>actual_vs_target_sales_dataset[[#This Row],[Sales_ Amount]]/actual_vs_target_sales_dataset[[#This Row],[Sales_Target]]</f>
        <v>0.89199498975176494</v>
      </c>
    </row>
    <row r="362" spans="1:11" x14ac:dyDescent="0.3">
      <c r="A362" s="2">
        <v>44922</v>
      </c>
      <c r="B362" s="3" t="s">
        <v>23</v>
      </c>
      <c r="C362" s="3" t="s">
        <v>22</v>
      </c>
      <c r="D362" s="3" t="s">
        <v>18</v>
      </c>
      <c r="E362" s="3" t="s">
        <v>19</v>
      </c>
      <c r="F362" s="3" t="s">
        <v>11</v>
      </c>
      <c r="G362" s="3">
        <v>12546.94</v>
      </c>
      <c r="H362" s="3">
        <v>12765.49</v>
      </c>
      <c r="I362" s="3" t="s">
        <v>42</v>
      </c>
      <c r="J362" s="3">
        <v>12</v>
      </c>
      <c r="K362" s="5">
        <f>actual_vs_target_sales_dataset[[#This Row],[Sales_ Amount]]/actual_vs_target_sales_dataset[[#This Row],[Sales_Target]]</f>
        <v>0.98287962310886623</v>
      </c>
    </row>
    <row r="363" spans="1:11" x14ac:dyDescent="0.3">
      <c r="A363" s="2">
        <v>44923</v>
      </c>
      <c r="B363" s="3" t="s">
        <v>20</v>
      </c>
      <c r="C363" s="3" t="s">
        <v>8</v>
      </c>
      <c r="D363" s="3" t="s">
        <v>18</v>
      </c>
      <c r="E363" s="3" t="s">
        <v>19</v>
      </c>
      <c r="F363" s="3" t="s">
        <v>28</v>
      </c>
      <c r="G363" s="3">
        <v>930.42</v>
      </c>
      <c r="H363" s="3">
        <v>804.75</v>
      </c>
      <c r="I363" s="3" t="s">
        <v>42</v>
      </c>
      <c r="J363" s="3">
        <v>12</v>
      </c>
      <c r="K363" s="5">
        <f>actual_vs_target_sales_dataset[[#This Row],[Sales_ Amount]]/actual_vs_target_sales_dataset[[#This Row],[Sales_Target]]</f>
        <v>1.1561602982292638</v>
      </c>
    </row>
    <row r="364" spans="1:11" x14ac:dyDescent="0.3">
      <c r="A364" s="2">
        <v>44924</v>
      </c>
      <c r="B364" s="3" t="s">
        <v>7</v>
      </c>
      <c r="C364" s="3" t="s">
        <v>14</v>
      </c>
      <c r="D364" s="3" t="s">
        <v>18</v>
      </c>
      <c r="E364" s="3" t="s">
        <v>19</v>
      </c>
      <c r="F364" s="3" t="s">
        <v>16</v>
      </c>
      <c r="G364" s="3">
        <v>17164.73</v>
      </c>
      <c r="H364" s="3">
        <v>15308.67</v>
      </c>
      <c r="I364" s="3" t="s">
        <v>42</v>
      </c>
      <c r="J364" s="3">
        <v>12</v>
      </c>
      <c r="K364" s="5">
        <f>actual_vs_target_sales_dataset[[#This Row],[Sales_ Amount]]/actual_vs_target_sales_dataset[[#This Row],[Sales_Target]]</f>
        <v>1.1212424070804321</v>
      </c>
    </row>
    <row r="365" spans="1:11" x14ac:dyDescent="0.3">
      <c r="A365" s="2">
        <v>44925</v>
      </c>
      <c r="B365" s="3" t="s">
        <v>13</v>
      </c>
      <c r="C365" s="3" t="s">
        <v>14</v>
      </c>
      <c r="D365" s="3" t="s">
        <v>24</v>
      </c>
      <c r="E365" s="3" t="s">
        <v>19</v>
      </c>
      <c r="F365" s="3" t="s">
        <v>16</v>
      </c>
      <c r="G365" s="3">
        <v>7382.32</v>
      </c>
      <c r="H365" s="3">
        <v>6725.23</v>
      </c>
      <c r="I365" s="3" t="s">
        <v>42</v>
      </c>
      <c r="J365" s="3">
        <v>12</v>
      </c>
      <c r="K365" s="5">
        <f>actual_vs_target_sales_dataset[[#This Row],[Sales_ Amount]]/actual_vs_target_sales_dataset[[#This Row],[Sales_Target]]</f>
        <v>1.0977052085950965</v>
      </c>
    </row>
    <row r="366" spans="1:11" x14ac:dyDescent="0.3">
      <c r="A366" s="2">
        <v>44926</v>
      </c>
      <c r="B366" s="3" t="s">
        <v>13</v>
      </c>
      <c r="C366" s="3" t="s">
        <v>22</v>
      </c>
      <c r="D366" s="3" t="s">
        <v>15</v>
      </c>
      <c r="E366" s="3" t="s">
        <v>10</v>
      </c>
      <c r="F366" s="3" t="s">
        <v>11</v>
      </c>
      <c r="G366" s="3">
        <v>11686.98</v>
      </c>
      <c r="H366" s="3">
        <v>11934.79</v>
      </c>
      <c r="I366" s="3" t="s">
        <v>42</v>
      </c>
      <c r="J366" s="3">
        <v>12</v>
      </c>
      <c r="K366" s="5">
        <f>actual_vs_target_sales_dataset[[#This Row],[Sales_ Amount]]/actual_vs_target_sales_dataset[[#This Row],[Sales_Target]]</f>
        <v>0.97923633344197913</v>
      </c>
    </row>
    <row r="367" spans="1:11" x14ac:dyDescent="0.3">
      <c r="A367" s="2">
        <v>44927</v>
      </c>
      <c r="B367" s="3" t="s">
        <v>7</v>
      </c>
      <c r="C367" s="3" t="s">
        <v>14</v>
      </c>
      <c r="D367" s="3" t="s">
        <v>18</v>
      </c>
      <c r="E367" s="3" t="s">
        <v>10</v>
      </c>
      <c r="F367" s="3" t="s">
        <v>27</v>
      </c>
      <c r="G367" s="3">
        <v>-1849.99</v>
      </c>
      <c r="H367" s="3">
        <v>-1910.52</v>
      </c>
      <c r="I367" s="3" t="s">
        <v>12</v>
      </c>
      <c r="J367" s="3">
        <v>1</v>
      </c>
      <c r="K367" s="5">
        <f>actual_vs_target_sales_dataset[[#This Row],[Sales_ Amount]]/actual_vs_target_sales_dataset[[#This Row],[Sales_Target]]</f>
        <v>0.9683175261185436</v>
      </c>
    </row>
    <row r="368" spans="1:11" x14ac:dyDescent="0.3">
      <c r="A368" s="2">
        <v>44928</v>
      </c>
      <c r="B368" s="3" t="s">
        <v>23</v>
      </c>
      <c r="C368" s="3" t="s">
        <v>8</v>
      </c>
      <c r="D368" s="3" t="s">
        <v>9</v>
      </c>
      <c r="E368" s="3" t="s">
        <v>10</v>
      </c>
      <c r="F368" s="3" t="s">
        <v>28</v>
      </c>
      <c r="G368" s="3">
        <v>20798.95</v>
      </c>
      <c r="H368" s="3">
        <v>22676.36</v>
      </c>
      <c r="I368" s="3" t="s">
        <v>12</v>
      </c>
      <c r="J368" s="3">
        <v>1</v>
      </c>
      <c r="K368" s="5">
        <f>actual_vs_target_sales_dataset[[#This Row],[Sales_ Amount]]/actual_vs_target_sales_dataset[[#This Row],[Sales_Target]]</f>
        <v>0.91720849377942493</v>
      </c>
    </row>
    <row r="369" spans="1:11" x14ac:dyDescent="0.3">
      <c r="A369" s="2">
        <v>44929</v>
      </c>
      <c r="B369" s="3" t="s">
        <v>13</v>
      </c>
      <c r="C369" s="3" t="s">
        <v>8</v>
      </c>
      <c r="D369" s="3" t="s">
        <v>24</v>
      </c>
      <c r="E369" s="3" t="s">
        <v>10</v>
      </c>
      <c r="F369" s="3" t="s">
        <v>16</v>
      </c>
      <c r="G369" s="3">
        <v>2414.4699999999998</v>
      </c>
      <c r="H369" s="3">
        <v>2600.75</v>
      </c>
      <c r="I369" s="3" t="s">
        <v>12</v>
      </c>
      <c r="J369" s="3">
        <v>1</v>
      </c>
      <c r="K369" s="5">
        <f>actual_vs_target_sales_dataset[[#This Row],[Sales_ Amount]]/actual_vs_target_sales_dataset[[#This Row],[Sales_Target]]</f>
        <v>0.9283745073536479</v>
      </c>
    </row>
    <row r="370" spans="1:11" x14ac:dyDescent="0.3">
      <c r="A370" s="2">
        <v>44930</v>
      </c>
      <c r="B370" s="3" t="s">
        <v>23</v>
      </c>
      <c r="C370" s="3" t="s">
        <v>25</v>
      </c>
      <c r="D370" s="3" t="s">
        <v>9</v>
      </c>
      <c r="E370" s="3" t="s">
        <v>21</v>
      </c>
      <c r="F370" s="3" t="s">
        <v>27</v>
      </c>
      <c r="G370" s="3">
        <v>13381.13</v>
      </c>
      <c r="H370" s="3">
        <v>15723.1</v>
      </c>
      <c r="I370" s="3" t="s">
        <v>12</v>
      </c>
      <c r="J370" s="3">
        <v>1</v>
      </c>
      <c r="K370" s="5">
        <f>actual_vs_target_sales_dataset[[#This Row],[Sales_ Amount]]/actual_vs_target_sales_dataset[[#This Row],[Sales_Target]]</f>
        <v>0.85104909337217205</v>
      </c>
    </row>
    <row r="371" spans="1:11" x14ac:dyDescent="0.3">
      <c r="A371" s="2">
        <v>44931</v>
      </c>
      <c r="B371" s="3" t="s">
        <v>17</v>
      </c>
      <c r="C371" s="3" t="s">
        <v>8</v>
      </c>
      <c r="D371" s="3" t="s">
        <v>15</v>
      </c>
      <c r="E371" s="3" t="s">
        <v>21</v>
      </c>
      <c r="F371" s="3" t="s">
        <v>16</v>
      </c>
      <c r="G371" s="3">
        <v>5423.37</v>
      </c>
      <c r="H371" s="3">
        <v>5900.24</v>
      </c>
      <c r="I371" s="3" t="s">
        <v>12</v>
      </c>
      <c r="J371" s="3">
        <v>1</v>
      </c>
      <c r="K371" s="5">
        <f>actual_vs_target_sales_dataset[[#This Row],[Sales_ Amount]]/actual_vs_target_sales_dataset[[#This Row],[Sales_Target]]</f>
        <v>0.91917786395129686</v>
      </c>
    </row>
    <row r="372" spans="1:11" x14ac:dyDescent="0.3">
      <c r="A372" s="2">
        <v>44932</v>
      </c>
      <c r="B372" s="3" t="s">
        <v>23</v>
      </c>
      <c r="C372" s="3" t="s">
        <v>14</v>
      </c>
      <c r="D372" s="3" t="s">
        <v>15</v>
      </c>
      <c r="E372" s="3" t="s">
        <v>10</v>
      </c>
      <c r="F372" s="3" t="s">
        <v>31</v>
      </c>
      <c r="G372" s="3">
        <v>10463.89</v>
      </c>
      <c r="H372" s="3">
        <v>10396</v>
      </c>
      <c r="I372" s="3" t="s">
        <v>12</v>
      </c>
      <c r="J372" s="3">
        <v>1</v>
      </c>
      <c r="K372" s="5">
        <f>actual_vs_target_sales_dataset[[#This Row],[Sales_ Amount]]/actual_vs_target_sales_dataset[[#This Row],[Sales_Target]]</f>
        <v>1.0065303963062715</v>
      </c>
    </row>
    <row r="373" spans="1:11" x14ac:dyDescent="0.3">
      <c r="A373" s="2">
        <v>44933</v>
      </c>
      <c r="B373" s="3" t="s">
        <v>23</v>
      </c>
      <c r="C373" s="3" t="s">
        <v>8</v>
      </c>
      <c r="D373" s="3" t="s">
        <v>9</v>
      </c>
      <c r="E373" s="3" t="s">
        <v>19</v>
      </c>
      <c r="F373" s="3" t="s">
        <v>29</v>
      </c>
      <c r="G373" s="3">
        <v>14416.58</v>
      </c>
      <c r="H373" s="3">
        <v>14983.47</v>
      </c>
      <c r="I373" s="3" t="s">
        <v>12</v>
      </c>
      <c r="J373" s="3">
        <v>1</v>
      </c>
      <c r="K373" s="5">
        <f>actual_vs_target_sales_dataset[[#This Row],[Sales_ Amount]]/actual_vs_target_sales_dataset[[#This Row],[Sales_Target]]</f>
        <v>0.96216563986846837</v>
      </c>
    </row>
    <row r="374" spans="1:11" x14ac:dyDescent="0.3">
      <c r="A374" s="2">
        <v>44934</v>
      </c>
      <c r="B374" s="3" t="s">
        <v>23</v>
      </c>
      <c r="C374" s="3" t="s">
        <v>22</v>
      </c>
      <c r="D374" s="3" t="s">
        <v>24</v>
      </c>
      <c r="E374" s="3" t="s">
        <v>10</v>
      </c>
      <c r="F374" s="3" t="s">
        <v>26</v>
      </c>
      <c r="G374" s="3">
        <v>19797.29</v>
      </c>
      <c r="H374" s="3">
        <v>19597.810000000001</v>
      </c>
      <c r="I374" s="3" t="s">
        <v>12</v>
      </c>
      <c r="J374" s="3">
        <v>1</v>
      </c>
      <c r="K374" s="5">
        <f>actual_vs_target_sales_dataset[[#This Row],[Sales_ Amount]]/actual_vs_target_sales_dataset[[#This Row],[Sales_Target]]</f>
        <v>1.010178688333033</v>
      </c>
    </row>
    <row r="375" spans="1:11" x14ac:dyDescent="0.3">
      <c r="A375" s="2">
        <v>44935</v>
      </c>
      <c r="B375" s="3" t="s">
        <v>13</v>
      </c>
      <c r="C375" s="3" t="s">
        <v>14</v>
      </c>
      <c r="D375" s="3" t="s">
        <v>24</v>
      </c>
      <c r="E375" s="3" t="s">
        <v>19</v>
      </c>
      <c r="F375" s="3" t="s">
        <v>26</v>
      </c>
      <c r="G375" s="3">
        <v>11990.7</v>
      </c>
      <c r="H375" s="3">
        <v>12992.02</v>
      </c>
      <c r="I375" s="3" t="s">
        <v>12</v>
      </c>
      <c r="J375" s="3">
        <v>1</v>
      </c>
      <c r="K375" s="5">
        <f>actual_vs_target_sales_dataset[[#This Row],[Sales_ Amount]]/actual_vs_target_sales_dataset[[#This Row],[Sales_Target]]</f>
        <v>0.9229280743102305</v>
      </c>
    </row>
    <row r="376" spans="1:11" x14ac:dyDescent="0.3">
      <c r="A376" s="2">
        <v>44936</v>
      </c>
      <c r="B376" s="3" t="s">
        <v>17</v>
      </c>
      <c r="C376" s="3" t="s">
        <v>8</v>
      </c>
      <c r="D376" s="3" t="s">
        <v>15</v>
      </c>
      <c r="E376" s="3" t="s">
        <v>19</v>
      </c>
      <c r="F376" s="3" t="s">
        <v>29</v>
      </c>
      <c r="G376" s="3">
        <v>12574.28</v>
      </c>
      <c r="H376" s="3">
        <v>12529.25</v>
      </c>
      <c r="I376" s="3" t="s">
        <v>12</v>
      </c>
      <c r="J376" s="3">
        <v>1</v>
      </c>
      <c r="K376" s="5">
        <f>actual_vs_target_sales_dataset[[#This Row],[Sales_ Amount]]/actual_vs_target_sales_dataset[[#This Row],[Sales_Target]]</f>
        <v>1.003593990063252</v>
      </c>
    </row>
    <row r="377" spans="1:11" x14ac:dyDescent="0.3">
      <c r="A377" s="2">
        <v>44937</v>
      </c>
      <c r="B377" s="3" t="s">
        <v>17</v>
      </c>
      <c r="C377" s="3" t="s">
        <v>8</v>
      </c>
      <c r="D377" s="3" t="s">
        <v>18</v>
      </c>
      <c r="E377" s="3" t="s">
        <v>10</v>
      </c>
      <c r="F377" s="3" t="s">
        <v>29</v>
      </c>
      <c r="G377" s="3">
        <v>2804.78</v>
      </c>
      <c r="H377" s="3">
        <v>3123.5</v>
      </c>
      <c r="I377" s="3" t="s">
        <v>12</v>
      </c>
      <c r="J377" s="3">
        <v>1</v>
      </c>
      <c r="K377" s="5">
        <f>actual_vs_target_sales_dataset[[#This Row],[Sales_ Amount]]/actual_vs_target_sales_dataset[[#This Row],[Sales_Target]]</f>
        <v>0.89796062109812713</v>
      </c>
    </row>
    <row r="378" spans="1:11" x14ac:dyDescent="0.3">
      <c r="A378" s="2">
        <v>44938</v>
      </c>
      <c r="B378" s="3" t="s">
        <v>20</v>
      </c>
      <c r="C378" s="3" t="s">
        <v>14</v>
      </c>
      <c r="D378" s="3" t="s">
        <v>18</v>
      </c>
      <c r="E378" s="3" t="s">
        <v>21</v>
      </c>
      <c r="F378" s="3" t="s">
        <v>11</v>
      </c>
      <c r="G378" s="3">
        <v>6123.24</v>
      </c>
      <c r="H378" s="3">
        <v>6177.16</v>
      </c>
      <c r="I378" s="3" t="s">
        <v>12</v>
      </c>
      <c r="J378" s="3">
        <v>1</v>
      </c>
      <c r="K378" s="5">
        <f>actual_vs_target_sales_dataset[[#This Row],[Sales_ Amount]]/actual_vs_target_sales_dataset[[#This Row],[Sales_Target]]</f>
        <v>0.99127106955299849</v>
      </c>
    </row>
    <row r="379" spans="1:11" x14ac:dyDescent="0.3">
      <c r="A379" s="2">
        <v>44939</v>
      </c>
      <c r="B379" s="3" t="s">
        <v>20</v>
      </c>
      <c r="C379" s="3" t="s">
        <v>22</v>
      </c>
      <c r="D379" s="3" t="s">
        <v>18</v>
      </c>
      <c r="E379" s="3" t="s">
        <v>19</v>
      </c>
      <c r="F379" s="3" t="s">
        <v>29</v>
      </c>
      <c r="G379" s="3">
        <v>9639.2900000000009</v>
      </c>
      <c r="H379" s="3">
        <v>9413.31</v>
      </c>
      <c r="I379" s="3" t="s">
        <v>12</v>
      </c>
      <c r="J379" s="3">
        <v>1</v>
      </c>
      <c r="K379" s="5">
        <f>actual_vs_target_sales_dataset[[#This Row],[Sales_ Amount]]/actual_vs_target_sales_dataset[[#This Row],[Sales_Target]]</f>
        <v>1.0240064334437091</v>
      </c>
    </row>
    <row r="380" spans="1:11" x14ac:dyDescent="0.3">
      <c r="A380" s="2">
        <v>44940</v>
      </c>
      <c r="B380" s="3" t="s">
        <v>17</v>
      </c>
      <c r="C380" s="3" t="s">
        <v>25</v>
      </c>
      <c r="D380" s="3" t="s">
        <v>18</v>
      </c>
      <c r="E380" s="3" t="s">
        <v>21</v>
      </c>
      <c r="F380" s="3" t="s">
        <v>30</v>
      </c>
      <c r="G380" s="3">
        <v>-10913.27</v>
      </c>
      <c r="H380" s="3">
        <v>-12532.11</v>
      </c>
      <c r="I380" s="3" t="s">
        <v>12</v>
      </c>
      <c r="J380" s="3">
        <v>1</v>
      </c>
      <c r="K380" s="5">
        <f>actual_vs_target_sales_dataset[[#This Row],[Sales_ Amount]]/actual_vs_target_sales_dataset[[#This Row],[Sales_Target]]</f>
        <v>0.87082462570149799</v>
      </c>
    </row>
    <row r="381" spans="1:11" x14ac:dyDescent="0.3">
      <c r="A381" s="2">
        <v>44941</v>
      </c>
      <c r="B381" s="3" t="s">
        <v>17</v>
      </c>
      <c r="C381" s="3" t="s">
        <v>22</v>
      </c>
      <c r="D381" s="3" t="s">
        <v>24</v>
      </c>
      <c r="E381" s="3" t="s">
        <v>21</v>
      </c>
      <c r="F381" s="3" t="s">
        <v>29</v>
      </c>
      <c r="G381" s="3">
        <v>-5227.96</v>
      </c>
      <c r="H381" s="3">
        <v>-5425.05</v>
      </c>
      <c r="I381" s="3" t="s">
        <v>12</v>
      </c>
      <c r="J381" s="3">
        <v>1</v>
      </c>
      <c r="K381" s="5">
        <f>actual_vs_target_sales_dataset[[#This Row],[Sales_ Amount]]/actual_vs_target_sales_dataset[[#This Row],[Sales_Target]]</f>
        <v>0.96367038091814816</v>
      </c>
    </row>
    <row r="382" spans="1:11" x14ac:dyDescent="0.3">
      <c r="A382" s="2">
        <v>44942</v>
      </c>
      <c r="B382" s="3" t="s">
        <v>13</v>
      </c>
      <c r="C382" s="3" t="s">
        <v>8</v>
      </c>
      <c r="D382" s="3" t="s">
        <v>24</v>
      </c>
      <c r="E382" s="3" t="s">
        <v>21</v>
      </c>
      <c r="F382" s="3" t="s">
        <v>11</v>
      </c>
      <c r="G382" s="3">
        <v>-1010.5</v>
      </c>
      <c r="H382" s="3">
        <v>-981.03</v>
      </c>
      <c r="I382" s="3" t="s">
        <v>12</v>
      </c>
      <c r="J382" s="3">
        <v>1</v>
      </c>
      <c r="K382" s="5">
        <f>actual_vs_target_sales_dataset[[#This Row],[Sales_ Amount]]/actual_vs_target_sales_dataset[[#This Row],[Sales_Target]]</f>
        <v>1.0300398560696411</v>
      </c>
    </row>
    <row r="383" spans="1:11" x14ac:dyDescent="0.3">
      <c r="A383" s="2">
        <v>44943</v>
      </c>
      <c r="B383" s="3" t="s">
        <v>20</v>
      </c>
      <c r="C383" s="3" t="s">
        <v>14</v>
      </c>
      <c r="D383" s="3" t="s">
        <v>18</v>
      </c>
      <c r="E383" s="3" t="s">
        <v>10</v>
      </c>
      <c r="F383" s="3" t="s">
        <v>30</v>
      </c>
      <c r="G383" s="3">
        <v>9000.92</v>
      </c>
      <c r="H383" s="3">
        <v>9839.08</v>
      </c>
      <c r="I383" s="3" t="s">
        <v>12</v>
      </c>
      <c r="J383" s="3">
        <v>1</v>
      </c>
      <c r="K383" s="5">
        <f>actual_vs_target_sales_dataset[[#This Row],[Sales_ Amount]]/actual_vs_target_sales_dataset[[#This Row],[Sales_Target]]</f>
        <v>0.91481317358940062</v>
      </c>
    </row>
    <row r="384" spans="1:11" x14ac:dyDescent="0.3">
      <c r="A384" s="2">
        <v>44944</v>
      </c>
      <c r="B384" s="3" t="s">
        <v>20</v>
      </c>
      <c r="C384" s="3" t="s">
        <v>25</v>
      </c>
      <c r="D384" s="3" t="s">
        <v>9</v>
      </c>
      <c r="E384" s="3" t="s">
        <v>10</v>
      </c>
      <c r="F384" s="3" t="s">
        <v>26</v>
      </c>
      <c r="G384" s="3">
        <v>4542.63</v>
      </c>
      <c r="H384" s="3">
        <v>4109.22</v>
      </c>
      <c r="I384" s="3" t="s">
        <v>12</v>
      </c>
      <c r="J384" s="3">
        <v>1</v>
      </c>
      <c r="K384" s="5">
        <f>actual_vs_target_sales_dataset[[#This Row],[Sales_ Amount]]/actual_vs_target_sales_dataset[[#This Row],[Sales_Target]]</f>
        <v>1.1054725714369149</v>
      </c>
    </row>
    <row r="385" spans="1:11" x14ac:dyDescent="0.3">
      <c r="A385" s="2">
        <v>44945</v>
      </c>
      <c r="B385" s="3" t="s">
        <v>23</v>
      </c>
      <c r="C385" s="3" t="s">
        <v>22</v>
      </c>
      <c r="D385" s="3" t="s">
        <v>24</v>
      </c>
      <c r="E385" s="3" t="s">
        <v>19</v>
      </c>
      <c r="F385" s="3" t="s">
        <v>11</v>
      </c>
      <c r="G385" s="3">
        <v>-3843.52</v>
      </c>
      <c r="H385" s="3">
        <v>-4439.83</v>
      </c>
      <c r="I385" s="3" t="s">
        <v>12</v>
      </c>
      <c r="J385" s="3">
        <v>1</v>
      </c>
      <c r="K385" s="5">
        <f>actual_vs_target_sales_dataset[[#This Row],[Sales_ Amount]]/actual_vs_target_sales_dataset[[#This Row],[Sales_Target]]</f>
        <v>0.86569080347670968</v>
      </c>
    </row>
    <row r="386" spans="1:11" x14ac:dyDescent="0.3">
      <c r="A386" s="2">
        <v>44946</v>
      </c>
      <c r="B386" s="3" t="s">
        <v>7</v>
      </c>
      <c r="C386" s="3" t="s">
        <v>14</v>
      </c>
      <c r="D386" s="3" t="s">
        <v>24</v>
      </c>
      <c r="E386" s="3" t="s">
        <v>19</v>
      </c>
      <c r="F386" s="3" t="s">
        <v>16</v>
      </c>
      <c r="G386" s="3">
        <v>-5817.79</v>
      </c>
      <c r="H386" s="3">
        <v>-6209.75</v>
      </c>
      <c r="I386" s="3" t="s">
        <v>12</v>
      </c>
      <c r="J386" s="3">
        <v>1</v>
      </c>
      <c r="K386" s="5">
        <f>actual_vs_target_sales_dataset[[#This Row],[Sales_ Amount]]/actual_vs_target_sales_dataset[[#This Row],[Sales_Target]]</f>
        <v>0.93687990659849429</v>
      </c>
    </row>
    <row r="387" spans="1:11" x14ac:dyDescent="0.3">
      <c r="A387" s="2">
        <v>44947</v>
      </c>
      <c r="B387" s="3" t="s">
        <v>20</v>
      </c>
      <c r="C387" s="3" t="s">
        <v>14</v>
      </c>
      <c r="D387" s="3" t="s">
        <v>15</v>
      </c>
      <c r="E387" s="3" t="s">
        <v>21</v>
      </c>
      <c r="F387" s="3" t="s">
        <v>11</v>
      </c>
      <c r="G387" s="3">
        <v>1545.42</v>
      </c>
      <c r="H387" s="3">
        <v>1623.34</v>
      </c>
      <c r="I387" s="3" t="s">
        <v>12</v>
      </c>
      <c r="J387" s="3">
        <v>1</v>
      </c>
      <c r="K387" s="5">
        <f>actual_vs_target_sales_dataset[[#This Row],[Sales_ Amount]]/actual_vs_target_sales_dataset[[#This Row],[Sales_Target]]</f>
        <v>0.95200019712444717</v>
      </c>
    </row>
    <row r="388" spans="1:11" x14ac:dyDescent="0.3">
      <c r="A388" s="2">
        <v>44948</v>
      </c>
      <c r="B388" s="3" t="s">
        <v>7</v>
      </c>
      <c r="C388" s="3" t="s">
        <v>14</v>
      </c>
      <c r="D388" s="3" t="s">
        <v>24</v>
      </c>
      <c r="E388" s="3" t="s">
        <v>10</v>
      </c>
      <c r="F388" s="3" t="s">
        <v>26</v>
      </c>
      <c r="G388" s="3">
        <v>4346.47</v>
      </c>
      <c r="H388" s="3">
        <v>4157.68</v>
      </c>
      <c r="I388" s="3" t="s">
        <v>12</v>
      </c>
      <c r="J388" s="3">
        <v>1</v>
      </c>
      <c r="K388" s="5">
        <f>actual_vs_target_sales_dataset[[#This Row],[Sales_ Amount]]/actual_vs_target_sales_dataset[[#This Row],[Sales_Target]]</f>
        <v>1.0454075349714265</v>
      </c>
    </row>
    <row r="389" spans="1:11" x14ac:dyDescent="0.3">
      <c r="A389" s="2">
        <v>44949</v>
      </c>
      <c r="B389" s="3" t="s">
        <v>13</v>
      </c>
      <c r="C389" s="3" t="s">
        <v>14</v>
      </c>
      <c r="D389" s="3" t="s">
        <v>24</v>
      </c>
      <c r="E389" s="3" t="s">
        <v>10</v>
      </c>
      <c r="F389" s="3" t="s">
        <v>16</v>
      </c>
      <c r="G389" s="3">
        <v>-4231.97</v>
      </c>
      <c r="H389" s="3">
        <v>-4053.86</v>
      </c>
      <c r="I389" s="3" t="s">
        <v>12</v>
      </c>
      <c r="J389" s="3">
        <v>1</v>
      </c>
      <c r="K389" s="5">
        <f>actual_vs_target_sales_dataset[[#This Row],[Sales_ Amount]]/actual_vs_target_sales_dataset[[#This Row],[Sales_Target]]</f>
        <v>1.0439359030652267</v>
      </c>
    </row>
    <row r="390" spans="1:11" x14ac:dyDescent="0.3">
      <c r="A390" s="2">
        <v>44950</v>
      </c>
      <c r="B390" s="3" t="s">
        <v>20</v>
      </c>
      <c r="C390" s="3" t="s">
        <v>22</v>
      </c>
      <c r="D390" s="3" t="s">
        <v>15</v>
      </c>
      <c r="E390" s="3" t="s">
        <v>21</v>
      </c>
      <c r="F390" s="3" t="s">
        <v>26</v>
      </c>
      <c r="G390" s="3">
        <v>8693.85</v>
      </c>
      <c r="H390" s="3">
        <v>7415</v>
      </c>
      <c r="I390" s="3" t="s">
        <v>12</v>
      </c>
      <c r="J390" s="3">
        <v>1</v>
      </c>
      <c r="K390" s="5">
        <f>actual_vs_target_sales_dataset[[#This Row],[Sales_ Amount]]/actual_vs_target_sales_dataset[[#This Row],[Sales_Target]]</f>
        <v>1.1724679703304113</v>
      </c>
    </row>
    <row r="391" spans="1:11" x14ac:dyDescent="0.3">
      <c r="A391" s="2">
        <v>44951</v>
      </c>
      <c r="B391" s="3" t="s">
        <v>17</v>
      </c>
      <c r="C391" s="3" t="s">
        <v>22</v>
      </c>
      <c r="D391" s="3" t="s">
        <v>9</v>
      </c>
      <c r="E391" s="3" t="s">
        <v>10</v>
      </c>
      <c r="F391" s="3" t="s">
        <v>16</v>
      </c>
      <c r="G391" s="3">
        <v>6988.9</v>
      </c>
      <c r="H391" s="3">
        <v>7381.19</v>
      </c>
      <c r="I391" s="3" t="s">
        <v>12</v>
      </c>
      <c r="J391" s="3">
        <v>1</v>
      </c>
      <c r="K391" s="5">
        <f>actual_vs_target_sales_dataset[[#This Row],[Sales_ Amount]]/actual_vs_target_sales_dataset[[#This Row],[Sales_Target]]</f>
        <v>0.9468527432568461</v>
      </c>
    </row>
    <row r="392" spans="1:11" x14ac:dyDescent="0.3">
      <c r="A392" s="2">
        <v>44952</v>
      </c>
      <c r="B392" s="3" t="s">
        <v>17</v>
      </c>
      <c r="C392" s="3" t="s">
        <v>25</v>
      </c>
      <c r="D392" s="3" t="s">
        <v>9</v>
      </c>
      <c r="E392" s="3" t="s">
        <v>21</v>
      </c>
      <c r="F392" s="3" t="s">
        <v>31</v>
      </c>
      <c r="G392" s="3">
        <v>10599.73</v>
      </c>
      <c r="H392" s="3">
        <v>11410.33</v>
      </c>
      <c r="I392" s="3" t="s">
        <v>12</v>
      </c>
      <c r="J392" s="3">
        <v>1</v>
      </c>
      <c r="K392" s="5">
        <f>actual_vs_target_sales_dataset[[#This Row],[Sales_ Amount]]/actual_vs_target_sales_dataset[[#This Row],[Sales_Target]]</f>
        <v>0.92895910985922403</v>
      </c>
    </row>
    <row r="393" spans="1:11" x14ac:dyDescent="0.3">
      <c r="A393" s="2">
        <v>44953</v>
      </c>
      <c r="B393" s="3" t="s">
        <v>7</v>
      </c>
      <c r="C393" s="3" t="s">
        <v>25</v>
      </c>
      <c r="D393" s="3" t="s">
        <v>15</v>
      </c>
      <c r="E393" s="3" t="s">
        <v>10</v>
      </c>
      <c r="F393" s="3" t="s">
        <v>11</v>
      </c>
      <c r="G393" s="3">
        <v>2684.53</v>
      </c>
      <c r="H393" s="3">
        <v>2501.44</v>
      </c>
      <c r="I393" s="3" t="s">
        <v>12</v>
      </c>
      <c r="J393" s="3">
        <v>1</v>
      </c>
      <c r="K393" s="5">
        <f>actual_vs_target_sales_dataset[[#This Row],[Sales_ Amount]]/actual_vs_target_sales_dataset[[#This Row],[Sales_Target]]</f>
        <v>1.0731938403479597</v>
      </c>
    </row>
    <row r="394" spans="1:11" x14ac:dyDescent="0.3">
      <c r="A394" s="2">
        <v>44954</v>
      </c>
      <c r="B394" s="3" t="s">
        <v>23</v>
      </c>
      <c r="C394" s="3" t="s">
        <v>8</v>
      </c>
      <c r="D394" s="3" t="s">
        <v>15</v>
      </c>
      <c r="E394" s="3" t="s">
        <v>19</v>
      </c>
      <c r="F394" s="3" t="s">
        <v>16</v>
      </c>
      <c r="G394" s="3">
        <v>18518.689999999999</v>
      </c>
      <c r="H394" s="3">
        <v>18649.66</v>
      </c>
      <c r="I394" s="3" t="s">
        <v>12</v>
      </c>
      <c r="J394" s="3">
        <v>1</v>
      </c>
      <c r="K394" s="5">
        <f>actual_vs_target_sales_dataset[[#This Row],[Sales_ Amount]]/actual_vs_target_sales_dataset[[#This Row],[Sales_Target]]</f>
        <v>0.99297735186593206</v>
      </c>
    </row>
    <row r="395" spans="1:11" x14ac:dyDescent="0.3">
      <c r="A395" s="2">
        <v>44955</v>
      </c>
      <c r="B395" s="3" t="s">
        <v>7</v>
      </c>
      <c r="C395" s="3" t="s">
        <v>14</v>
      </c>
      <c r="D395" s="3" t="s">
        <v>24</v>
      </c>
      <c r="E395" s="3" t="s">
        <v>10</v>
      </c>
      <c r="F395" s="3" t="s">
        <v>29</v>
      </c>
      <c r="G395" s="3">
        <v>9394.02</v>
      </c>
      <c r="H395" s="3">
        <v>9440.4599999999991</v>
      </c>
      <c r="I395" s="3" t="s">
        <v>12</v>
      </c>
      <c r="J395" s="3">
        <v>1</v>
      </c>
      <c r="K395" s="5">
        <f>actual_vs_target_sales_dataset[[#This Row],[Sales_ Amount]]/actual_vs_target_sales_dataset[[#This Row],[Sales_Target]]</f>
        <v>0.99508074818388104</v>
      </c>
    </row>
    <row r="396" spans="1:11" x14ac:dyDescent="0.3">
      <c r="A396" s="2">
        <v>44956</v>
      </c>
      <c r="B396" s="3" t="s">
        <v>13</v>
      </c>
      <c r="C396" s="3" t="s">
        <v>8</v>
      </c>
      <c r="D396" s="3" t="s">
        <v>9</v>
      </c>
      <c r="E396" s="3" t="s">
        <v>19</v>
      </c>
      <c r="F396" s="3" t="s">
        <v>27</v>
      </c>
      <c r="G396" s="3">
        <v>6106.68</v>
      </c>
      <c r="H396" s="3">
        <v>6345.01</v>
      </c>
      <c r="I396" s="3" t="s">
        <v>12</v>
      </c>
      <c r="J396" s="3">
        <v>1</v>
      </c>
      <c r="K396" s="5">
        <f>actual_vs_target_sales_dataset[[#This Row],[Sales_ Amount]]/actual_vs_target_sales_dataset[[#This Row],[Sales_Target]]</f>
        <v>0.96243819946698272</v>
      </c>
    </row>
    <row r="397" spans="1:11" x14ac:dyDescent="0.3">
      <c r="A397" s="2">
        <v>44957</v>
      </c>
      <c r="B397" s="3" t="s">
        <v>20</v>
      </c>
      <c r="C397" s="3" t="s">
        <v>14</v>
      </c>
      <c r="D397" s="3" t="s">
        <v>9</v>
      </c>
      <c r="E397" s="3" t="s">
        <v>19</v>
      </c>
      <c r="F397" s="3" t="s">
        <v>27</v>
      </c>
      <c r="G397" s="3">
        <v>3023.33</v>
      </c>
      <c r="H397" s="3">
        <v>3012.04</v>
      </c>
      <c r="I397" s="3" t="s">
        <v>12</v>
      </c>
      <c r="J397" s="3">
        <v>1</v>
      </c>
      <c r="K397" s="5">
        <f>actual_vs_target_sales_dataset[[#This Row],[Sales_ Amount]]/actual_vs_target_sales_dataset[[#This Row],[Sales_Target]]</f>
        <v>1.0037482901953494</v>
      </c>
    </row>
    <row r="398" spans="1:11" x14ac:dyDescent="0.3">
      <c r="A398" s="2">
        <v>44958</v>
      </c>
      <c r="B398" s="3" t="s">
        <v>23</v>
      </c>
      <c r="C398" s="3" t="s">
        <v>14</v>
      </c>
      <c r="D398" s="3" t="s">
        <v>9</v>
      </c>
      <c r="E398" s="3" t="s">
        <v>21</v>
      </c>
      <c r="F398" s="3" t="s">
        <v>27</v>
      </c>
      <c r="G398" s="3">
        <v>21587.91</v>
      </c>
      <c r="H398" s="3">
        <v>20486.330000000002</v>
      </c>
      <c r="I398" s="3" t="s">
        <v>32</v>
      </c>
      <c r="J398" s="3">
        <v>2</v>
      </c>
      <c r="K398" s="5">
        <f>actual_vs_target_sales_dataset[[#This Row],[Sales_ Amount]]/actual_vs_target_sales_dataset[[#This Row],[Sales_Target]]</f>
        <v>1.0537714661435209</v>
      </c>
    </row>
    <row r="399" spans="1:11" x14ac:dyDescent="0.3">
      <c r="A399" s="2">
        <v>44959</v>
      </c>
      <c r="B399" s="3" t="s">
        <v>17</v>
      </c>
      <c r="C399" s="3" t="s">
        <v>25</v>
      </c>
      <c r="D399" s="3" t="s">
        <v>18</v>
      </c>
      <c r="E399" s="3" t="s">
        <v>10</v>
      </c>
      <c r="F399" s="3" t="s">
        <v>30</v>
      </c>
      <c r="G399" s="3">
        <v>5713.1</v>
      </c>
      <c r="H399" s="3">
        <v>5419.29</v>
      </c>
      <c r="I399" s="3" t="s">
        <v>32</v>
      </c>
      <c r="J399" s="3">
        <v>2</v>
      </c>
      <c r="K399" s="5">
        <f>actual_vs_target_sales_dataset[[#This Row],[Sales_ Amount]]/actual_vs_target_sales_dataset[[#This Row],[Sales_Target]]</f>
        <v>1.0542155891269891</v>
      </c>
    </row>
    <row r="400" spans="1:11" x14ac:dyDescent="0.3">
      <c r="A400" s="2">
        <v>44960</v>
      </c>
      <c r="B400" s="3" t="s">
        <v>17</v>
      </c>
      <c r="C400" s="3" t="s">
        <v>14</v>
      </c>
      <c r="D400" s="3" t="s">
        <v>24</v>
      </c>
      <c r="E400" s="3" t="s">
        <v>21</v>
      </c>
      <c r="F400" s="3" t="s">
        <v>27</v>
      </c>
      <c r="G400" s="3">
        <v>9183.7999999999993</v>
      </c>
      <c r="H400" s="3">
        <v>9149.9699999999993</v>
      </c>
      <c r="I400" s="3" t="s">
        <v>32</v>
      </c>
      <c r="J400" s="3">
        <v>2</v>
      </c>
      <c r="K400" s="5">
        <f>actual_vs_target_sales_dataset[[#This Row],[Sales_ Amount]]/actual_vs_target_sales_dataset[[#This Row],[Sales_Target]]</f>
        <v>1.003697279881792</v>
      </c>
    </row>
    <row r="401" spans="1:11" x14ac:dyDescent="0.3">
      <c r="A401" s="2">
        <v>44961</v>
      </c>
      <c r="B401" s="3" t="s">
        <v>23</v>
      </c>
      <c r="C401" s="3" t="s">
        <v>8</v>
      </c>
      <c r="D401" s="3" t="s">
        <v>18</v>
      </c>
      <c r="E401" s="3" t="s">
        <v>19</v>
      </c>
      <c r="F401" s="3" t="s">
        <v>28</v>
      </c>
      <c r="G401" s="3">
        <v>9587.1299999999992</v>
      </c>
      <c r="H401" s="3">
        <v>9425.2999999999993</v>
      </c>
      <c r="I401" s="3" t="s">
        <v>32</v>
      </c>
      <c r="J401" s="3">
        <v>2</v>
      </c>
      <c r="K401" s="5">
        <f>actual_vs_target_sales_dataset[[#This Row],[Sales_ Amount]]/actual_vs_target_sales_dataset[[#This Row],[Sales_Target]]</f>
        <v>1.0171697452600978</v>
      </c>
    </row>
    <row r="402" spans="1:11" x14ac:dyDescent="0.3">
      <c r="A402" s="2">
        <v>44962</v>
      </c>
      <c r="B402" s="3" t="s">
        <v>17</v>
      </c>
      <c r="C402" s="3" t="s">
        <v>8</v>
      </c>
      <c r="D402" s="3" t="s">
        <v>9</v>
      </c>
      <c r="E402" s="3" t="s">
        <v>10</v>
      </c>
      <c r="F402" s="3" t="s">
        <v>31</v>
      </c>
      <c r="G402" s="3">
        <v>8938.98</v>
      </c>
      <c r="H402" s="3">
        <v>8939.2999999999993</v>
      </c>
      <c r="I402" s="3" t="s">
        <v>32</v>
      </c>
      <c r="J402" s="3">
        <v>2</v>
      </c>
      <c r="K402" s="5">
        <f>actual_vs_target_sales_dataset[[#This Row],[Sales_ Amount]]/actual_vs_target_sales_dataset[[#This Row],[Sales_Target]]</f>
        <v>0.99996420301365885</v>
      </c>
    </row>
    <row r="403" spans="1:11" x14ac:dyDescent="0.3">
      <c r="A403" s="2">
        <v>44963</v>
      </c>
      <c r="B403" s="3" t="s">
        <v>23</v>
      </c>
      <c r="C403" s="3" t="s">
        <v>8</v>
      </c>
      <c r="D403" s="3" t="s">
        <v>15</v>
      </c>
      <c r="E403" s="3" t="s">
        <v>19</v>
      </c>
      <c r="F403" s="3" t="s">
        <v>26</v>
      </c>
      <c r="G403" s="3">
        <v>6126.06</v>
      </c>
      <c r="H403" s="3">
        <v>5827.93</v>
      </c>
      <c r="I403" s="3" t="s">
        <v>32</v>
      </c>
      <c r="J403" s="3">
        <v>2</v>
      </c>
      <c r="K403" s="5">
        <f>actual_vs_target_sales_dataset[[#This Row],[Sales_ Amount]]/actual_vs_target_sales_dataset[[#This Row],[Sales_Target]]</f>
        <v>1.0511553845018728</v>
      </c>
    </row>
    <row r="404" spans="1:11" x14ac:dyDescent="0.3">
      <c r="A404" s="2">
        <v>44964</v>
      </c>
      <c r="B404" s="3" t="s">
        <v>20</v>
      </c>
      <c r="C404" s="3" t="s">
        <v>8</v>
      </c>
      <c r="D404" s="3" t="s">
        <v>15</v>
      </c>
      <c r="E404" s="3" t="s">
        <v>10</v>
      </c>
      <c r="F404" s="3" t="s">
        <v>27</v>
      </c>
      <c r="G404" s="3">
        <v>8067.79</v>
      </c>
      <c r="H404" s="3">
        <v>7994.66</v>
      </c>
      <c r="I404" s="3" t="s">
        <v>32</v>
      </c>
      <c r="J404" s="3">
        <v>2</v>
      </c>
      <c r="K404" s="5">
        <f>actual_vs_target_sales_dataset[[#This Row],[Sales_ Amount]]/actual_vs_target_sales_dataset[[#This Row],[Sales_Target]]</f>
        <v>1.0091473558600366</v>
      </c>
    </row>
    <row r="405" spans="1:11" x14ac:dyDescent="0.3">
      <c r="A405" s="2">
        <v>44965</v>
      </c>
      <c r="B405" s="3" t="s">
        <v>17</v>
      </c>
      <c r="C405" s="3" t="s">
        <v>8</v>
      </c>
      <c r="D405" s="3" t="s">
        <v>24</v>
      </c>
      <c r="E405" s="3" t="s">
        <v>19</v>
      </c>
      <c r="F405" s="3" t="s">
        <v>16</v>
      </c>
      <c r="G405" s="3">
        <v>273.08999999999997</v>
      </c>
      <c r="H405" s="3">
        <v>273.44</v>
      </c>
      <c r="I405" s="3" t="s">
        <v>32</v>
      </c>
      <c r="J405" s="3">
        <v>2</v>
      </c>
      <c r="K405" s="5">
        <f>actual_vs_target_sales_dataset[[#This Row],[Sales_ Amount]]/actual_vs_target_sales_dataset[[#This Row],[Sales_Target]]</f>
        <v>0.99872001170275004</v>
      </c>
    </row>
    <row r="406" spans="1:11" x14ac:dyDescent="0.3">
      <c r="A406" s="2">
        <v>44966</v>
      </c>
      <c r="B406" s="3" t="s">
        <v>17</v>
      </c>
      <c r="C406" s="3" t="s">
        <v>25</v>
      </c>
      <c r="D406" s="3" t="s">
        <v>24</v>
      </c>
      <c r="E406" s="3" t="s">
        <v>10</v>
      </c>
      <c r="F406" s="3" t="s">
        <v>30</v>
      </c>
      <c r="G406" s="3">
        <v>-592.04999999999995</v>
      </c>
      <c r="H406" s="3">
        <v>-675.68</v>
      </c>
      <c r="I406" s="3" t="s">
        <v>32</v>
      </c>
      <c r="J406" s="3">
        <v>2</v>
      </c>
      <c r="K406" s="5">
        <f>actual_vs_target_sales_dataset[[#This Row],[Sales_ Amount]]/actual_vs_target_sales_dataset[[#This Row],[Sales_Target]]</f>
        <v>0.87622839213829029</v>
      </c>
    </row>
    <row r="407" spans="1:11" x14ac:dyDescent="0.3">
      <c r="A407" s="2">
        <v>44967</v>
      </c>
      <c r="B407" s="3" t="s">
        <v>13</v>
      </c>
      <c r="C407" s="3" t="s">
        <v>22</v>
      </c>
      <c r="D407" s="3" t="s">
        <v>24</v>
      </c>
      <c r="E407" s="3" t="s">
        <v>21</v>
      </c>
      <c r="F407" s="3" t="s">
        <v>28</v>
      </c>
      <c r="G407" s="3">
        <v>1502.3</v>
      </c>
      <c r="H407" s="3">
        <v>1315.84</v>
      </c>
      <c r="I407" s="3" t="s">
        <v>32</v>
      </c>
      <c r="J407" s="3">
        <v>2</v>
      </c>
      <c r="K407" s="5">
        <f>actual_vs_target_sales_dataset[[#This Row],[Sales_ Amount]]/actual_vs_target_sales_dataset[[#This Row],[Sales_Target]]</f>
        <v>1.1417041585603114</v>
      </c>
    </row>
    <row r="408" spans="1:11" x14ac:dyDescent="0.3">
      <c r="A408" s="2">
        <v>44968</v>
      </c>
      <c r="B408" s="3" t="s">
        <v>13</v>
      </c>
      <c r="C408" s="3" t="s">
        <v>14</v>
      </c>
      <c r="D408" s="3" t="s">
        <v>15</v>
      </c>
      <c r="E408" s="3" t="s">
        <v>19</v>
      </c>
      <c r="F408" s="3" t="s">
        <v>29</v>
      </c>
      <c r="G408" s="3">
        <v>-1146.56</v>
      </c>
      <c r="H408" s="3">
        <v>-1228.03</v>
      </c>
      <c r="I408" s="3" t="s">
        <v>32</v>
      </c>
      <c r="J408" s="3">
        <v>2</v>
      </c>
      <c r="K408" s="5">
        <f>actual_vs_target_sales_dataset[[#This Row],[Sales_ Amount]]/actual_vs_target_sales_dataset[[#This Row],[Sales_Target]]</f>
        <v>0.93365797252510119</v>
      </c>
    </row>
    <row r="409" spans="1:11" x14ac:dyDescent="0.3">
      <c r="A409" s="2">
        <v>44969</v>
      </c>
      <c r="B409" s="3" t="s">
        <v>7</v>
      </c>
      <c r="C409" s="3" t="s">
        <v>22</v>
      </c>
      <c r="D409" s="3" t="s">
        <v>18</v>
      </c>
      <c r="E409" s="3" t="s">
        <v>10</v>
      </c>
      <c r="F409" s="3" t="s">
        <v>28</v>
      </c>
      <c r="G409" s="3">
        <v>13958.82</v>
      </c>
      <c r="H409" s="3">
        <v>12350.29</v>
      </c>
      <c r="I409" s="3" t="s">
        <v>32</v>
      </c>
      <c r="J409" s="3">
        <v>2</v>
      </c>
      <c r="K409" s="5">
        <f>actual_vs_target_sales_dataset[[#This Row],[Sales_ Amount]]/actual_vs_target_sales_dataset[[#This Row],[Sales_Target]]</f>
        <v>1.1302422858086731</v>
      </c>
    </row>
    <row r="410" spans="1:11" x14ac:dyDescent="0.3">
      <c r="A410" s="2">
        <v>44970</v>
      </c>
      <c r="B410" s="3" t="s">
        <v>13</v>
      </c>
      <c r="C410" s="3" t="s">
        <v>22</v>
      </c>
      <c r="D410" s="3" t="s">
        <v>9</v>
      </c>
      <c r="E410" s="3" t="s">
        <v>10</v>
      </c>
      <c r="F410" s="3" t="s">
        <v>29</v>
      </c>
      <c r="G410" s="3">
        <v>15438.77</v>
      </c>
      <c r="H410" s="3">
        <v>16374.9</v>
      </c>
      <c r="I410" s="3" t="s">
        <v>32</v>
      </c>
      <c r="J410" s="3">
        <v>2</v>
      </c>
      <c r="K410" s="5">
        <f>actual_vs_target_sales_dataset[[#This Row],[Sales_ Amount]]/actual_vs_target_sales_dataset[[#This Row],[Sales_Target]]</f>
        <v>0.94283140660400988</v>
      </c>
    </row>
    <row r="411" spans="1:11" x14ac:dyDescent="0.3">
      <c r="A411" s="2">
        <v>44971</v>
      </c>
      <c r="B411" s="3" t="s">
        <v>23</v>
      </c>
      <c r="C411" s="3" t="s">
        <v>22</v>
      </c>
      <c r="D411" s="3" t="s">
        <v>15</v>
      </c>
      <c r="E411" s="3" t="s">
        <v>21</v>
      </c>
      <c r="F411" s="3" t="s">
        <v>28</v>
      </c>
      <c r="G411" s="3">
        <v>9737.6299999999992</v>
      </c>
      <c r="H411" s="3">
        <v>10350.719999999999</v>
      </c>
      <c r="I411" s="3" t="s">
        <v>32</v>
      </c>
      <c r="J411" s="3">
        <v>2</v>
      </c>
      <c r="K411" s="5">
        <f>actual_vs_target_sales_dataset[[#This Row],[Sales_ Amount]]/actual_vs_target_sales_dataset[[#This Row],[Sales_Target]]</f>
        <v>0.94076837166883076</v>
      </c>
    </row>
    <row r="412" spans="1:11" x14ac:dyDescent="0.3">
      <c r="A412" s="2">
        <v>44972</v>
      </c>
      <c r="B412" s="3" t="s">
        <v>23</v>
      </c>
      <c r="C412" s="3" t="s">
        <v>22</v>
      </c>
      <c r="D412" s="3" t="s">
        <v>18</v>
      </c>
      <c r="E412" s="3" t="s">
        <v>21</v>
      </c>
      <c r="F412" s="3" t="s">
        <v>27</v>
      </c>
      <c r="G412" s="3">
        <v>-115.62</v>
      </c>
      <c r="H412" s="3">
        <v>-124.33</v>
      </c>
      <c r="I412" s="3" t="s">
        <v>32</v>
      </c>
      <c r="J412" s="3">
        <v>2</v>
      </c>
      <c r="K412" s="5">
        <f>actual_vs_target_sales_dataset[[#This Row],[Sales_ Amount]]/actual_vs_target_sales_dataset[[#This Row],[Sales_Target]]</f>
        <v>0.92994450253358008</v>
      </c>
    </row>
    <row r="413" spans="1:11" x14ac:dyDescent="0.3">
      <c r="A413" s="2">
        <v>44973</v>
      </c>
      <c r="B413" s="3" t="s">
        <v>20</v>
      </c>
      <c r="C413" s="3" t="s">
        <v>22</v>
      </c>
      <c r="D413" s="3" t="s">
        <v>15</v>
      </c>
      <c r="E413" s="3" t="s">
        <v>10</v>
      </c>
      <c r="F413" s="3" t="s">
        <v>28</v>
      </c>
      <c r="G413" s="3">
        <v>15179.49</v>
      </c>
      <c r="H413" s="3">
        <v>14473.59</v>
      </c>
      <c r="I413" s="3" t="s">
        <v>32</v>
      </c>
      <c r="J413" s="3">
        <v>2</v>
      </c>
      <c r="K413" s="5">
        <f>actual_vs_target_sales_dataset[[#This Row],[Sales_ Amount]]/actual_vs_target_sales_dataset[[#This Row],[Sales_Target]]</f>
        <v>1.0487715901859871</v>
      </c>
    </row>
    <row r="414" spans="1:11" x14ac:dyDescent="0.3">
      <c r="A414" s="2">
        <v>44974</v>
      </c>
      <c r="B414" s="3" t="s">
        <v>13</v>
      </c>
      <c r="C414" s="3" t="s">
        <v>25</v>
      </c>
      <c r="D414" s="3" t="s">
        <v>24</v>
      </c>
      <c r="E414" s="3" t="s">
        <v>10</v>
      </c>
      <c r="F414" s="3" t="s">
        <v>26</v>
      </c>
      <c r="G414" s="3">
        <v>9863.6200000000008</v>
      </c>
      <c r="H414" s="3">
        <v>11188.35</v>
      </c>
      <c r="I414" s="3" t="s">
        <v>32</v>
      </c>
      <c r="J414" s="3">
        <v>2</v>
      </c>
      <c r="K414" s="5">
        <f>actual_vs_target_sales_dataset[[#This Row],[Sales_ Amount]]/actual_vs_target_sales_dataset[[#This Row],[Sales_Target]]</f>
        <v>0.88159737584183551</v>
      </c>
    </row>
    <row r="415" spans="1:11" x14ac:dyDescent="0.3">
      <c r="A415" s="2">
        <v>44975</v>
      </c>
      <c r="B415" s="3" t="s">
        <v>23</v>
      </c>
      <c r="C415" s="3" t="s">
        <v>14</v>
      </c>
      <c r="D415" s="3" t="s">
        <v>18</v>
      </c>
      <c r="E415" s="3" t="s">
        <v>19</v>
      </c>
      <c r="F415" s="3" t="s">
        <v>28</v>
      </c>
      <c r="G415" s="3">
        <v>5348.94</v>
      </c>
      <c r="H415" s="3">
        <v>6018.41</v>
      </c>
      <c r="I415" s="3" t="s">
        <v>32</v>
      </c>
      <c r="J415" s="3">
        <v>2</v>
      </c>
      <c r="K415" s="5">
        <f>actual_vs_target_sales_dataset[[#This Row],[Sales_ Amount]]/actual_vs_target_sales_dataset[[#This Row],[Sales_Target]]</f>
        <v>0.88876297892632772</v>
      </c>
    </row>
    <row r="416" spans="1:11" x14ac:dyDescent="0.3">
      <c r="A416" s="2">
        <v>44976</v>
      </c>
      <c r="B416" s="3" t="s">
        <v>13</v>
      </c>
      <c r="C416" s="3" t="s">
        <v>14</v>
      </c>
      <c r="D416" s="3" t="s">
        <v>18</v>
      </c>
      <c r="E416" s="3" t="s">
        <v>21</v>
      </c>
      <c r="F416" s="3" t="s">
        <v>27</v>
      </c>
      <c r="G416" s="3">
        <v>14571</v>
      </c>
      <c r="H416" s="3">
        <v>14583.76</v>
      </c>
      <c r="I416" s="3" t="s">
        <v>32</v>
      </c>
      <c r="J416" s="3">
        <v>2</v>
      </c>
      <c r="K416" s="5">
        <f>actual_vs_target_sales_dataset[[#This Row],[Sales_ Amount]]/actual_vs_target_sales_dataset[[#This Row],[Sales_Target]]</f>
        <v>0.99912505416984365</v>
      </c>
    </row>
    <row r="417" spans="1:11" x14ac:dyDescent="0.3">
      <c r="A417" s="2">
        <v>44977</v>
      </c>
      <c r="B417" s="3" t="s">
        <v>13</v>
      </c>
      <c r="C417" s="3" t="s">
        <v>22</v>
      </c>
      <c r="D417" s="3" t="s">
        <v>15</v>
      </c>
      <c r="E417" s="3" t="s">
        <v>10</v>
      </c>
      <c r="F417" s="3" t="s">
        <v>30</v>
      </c>
      <c r="G417" s="3">
        <v>6722.33</v>
      </c>
      <c r="H417" s="3">
        <v>6219.17</v>
      </c>
      <c r="I417" s="3" t="s">
        <v>32</v>
      </c>
      <c r="J417" s="3">
        <v>2</v>
      </c>
      <c r="K417" s="5">
        <f>actual_vs_target_sales_dataset[[#This Row],[Sales_ Amount]]/actual_vs_target_sales_dataset[[#This Row],[Sales_Target]]</f>
        <v>1.0809046866382492</v>
      </c>
    </row>
    <row r="418" spans="1:11" x14ac:dyDescent="0.3">
      <c r="A418" s="2">
        <v>44978</v>
      </c>
      <c r="B418" s="3" t="s">
        <v>13</v>
      </c>
      <c r="C418" s="3" t="s">
        <v>22</v>
      </c>
      <c r="D418" s="3" t="s">
        <v>9</v>
      </c>
      <c r="E418" s="3" t="s">
        <v>19</v>
      </c>
      <c r="F418" s="3" t="s">
        <v>11</v>
      </c>
      <c r="G418" s="3">
        <v>7270.63</v>
      </c>
      <c r="H418" s="3">
        <v>6205.29</v>
      </c>
      <c r="I418" s="3" t="s">
        <v>32</v>
      </c>
      <c r="J418" s="3">
        <v>2</v>
      </c>
      <c r="K418" s="5">
        <f>actual_vs_target_sales_dataset[[#This Row],[Sales_ Amount]]/actual_vs_target_sales_dataset[[#This Row],[Sales_Target]]</f>
        <v>1.171682548277357</v>
      </c>
    </row>
    <row r="419" spans="1:11" x14ac:dyDescent="0.3">
      <c r="A419" s="2">
        <v>44979</v>
      </c>
      <c r="B419" s="3" t="s">
        <v>17</v>
      </c>
      <c r="C419" s="3" t="s">
        <v>25</v>
      </c>
      <c r="D419" s="3" t="s">
        <v>24</v>
      </c>
      <c r="E419" s="3" t="s">
        <v>21</v>
      </c>
      <c r="F419" s="3" t="s">
        <v>16</v>
      </c>
      <c r="G419" s="3">
        <v>2074.87</v>
      </c>
      <c r="H419" s="3">
        <v>2112.75</v>
      </c>
      <c r="I419" s="3" t="s">
        <v>32</v>
      </c>
      <c r="J419" s="3">
        <v>2</v>
      </c>
      <c r="K419" s="5">
        <f>actual_vs_target_sales_dataset[[#This Row],[Sales_ Amount]]/actual_vs_target_sales_dataset[[#This Row],[Sales_Target]]</f>
        <v>0.98207076085670331</v>
      </c>
    </row>
    <row r="420" spans="1:11" x14ac:dyDescent="0.3">
      <c r="A420" s="2">
        <v>44980</v>
      </c>
      <c r="B420" s="3" t="s">
        <v>7</v>
      </c>
      <c r="C420" s="3" t="s">
        <v>14</v>
      </c>
      <c r="D420" s="3" t="s">
        <v>15</v>
      </c>
      <c r="E420" s="3" t="s">
        <v>21</v>
      </c>
      <c r="F420" s="3" t="s">
        <v>11</v>
      </c>
      <c r="G420" s="3">
        <v>3111.6</v>
      </c>
      <c r="H420" s="3">
        <v>3639.48</v>
      </c>
      <c r="I420" s="3" t="s">
        <v>32</v>
      </c>
      <c r="J420" s="3">
        <v>2</v>
      </c>
      <c r="K420" s="5">
        <f>actual_vs_target_sales_dataset[[#This Row],[Sales_ Amount]]/actual_vs_target_sales_dataset[[#This Row],[Sales_Target]]</f>
        <v>0.85495730159253513</v>
      </c>
    </row>
    <row r="421" spans="1:11" x14ac:dyDescent="0.3">
      <c r="A421" s="2">
        <v>44981</v>
      </c>
      <c r="B421" s="3" t="s">
        <v>20</v>
      </c>
      <c r="C421" s="3" t="s">
        <v>22</v>
      </c>
      <c r="D421" s="3" t="s">
        <v>15</v>
      </c>
      <c r="E421" s="3" t="s">
        <v>19</v>
      </c>
      <c r="F421" s="3" t="s">
        <v>28</v>
      </c>
      <c r="G421" s="3">
        <v>6083.26</v>
      </c>
      <c r="H421" s="3">
        <v>6068.36</v>
      </c>
      <c r="I421" s="3" t="s">
        <v>32</v>
      </c>
      <c r="J421" s="3">
        <v>2</v>
      </c>
      <c r="K421" s="5">
        <f>actual_vs_target_sales_dataset[[#This Row],[Sales_ Amount]]/actual_vs_target_sales_dataset[[#This Row],[Sales_Target]]</f>
        <v>1.0024553586141891</v>
      </c>
    </row>
    <row r="422" spans="1:11" x14ac:dyDescent="0.3">
      <c r="A422" s="2">
        <v>44982</v>
      </c>
      <c r="B422" s="3" t="s">
        <v>13</v>
      </c>
      <c r="C422" s="3" t="s">
        <v>14</v>
      </c>
      <c r="D422" s="3" t="s">
        <v>15</v>
      </c>
      <c r="E422" s="3" t="s">
        <v>10</v>
      </c>
      <c r="F422" s="3" t="s">
        <v>26</v>
      </c>
      <c r="G422" s="3">
        <v>14490</v>
      </c>
      <c r="H422" s="3">
        <v>15259.22</v>
      </c>
      <c r="I422" s="3" t="s">
        <v>32</v>
      </c>
      <c r="J422" s="3">
        <v>2</v>
      </c>
      <c r="K422" s="5">
        <f>actual_vs_target_sales_dataset[[#This Row],[Sales_ Amount]]/actual_vs_target_sales_dataset[[#This Row],[Sales_Target]]</f>
        <v>0.94958982176022111</v>
      </c>
    </row>
    <row r="423" spans="1:11" x14ac:dyDescent="0.3">
      <c r="A423" s="2">
        <v>44983</v>
      </c>
      <c r="B423" s="3" t="s">
        <v>17</v>
      </c>
      <c r="C423" s="3" t="s">
        <v>14</v>
      </c>
      <c r="D423" s="3" t="s">
        <v>18</v>
      </c>
      <c r="E423" s="3" t="s">
        <v>21</v>
      </c>
      <c r="F423" s="3" t="s">
        <v>11</v>
      </c>
      <c r="G423" s="3">
        <v>1214.3900000000001</v>
      </c>
      <c r="H423" s="3">
        <v>1383.55</v>
      </c>
      <c r="I423" s="3" t="s">
        <v>32</v>
      </c>
      <c r="J423" s="3">
        <v>2</v>
      </c>
      <c r="K423" s="5">
        <f>actual_vs_target_sales_dataset[[#This Row],[Sales_ Amount]]/actual_vs_target_sales_dataset[[#This Row],[Sales_Target]]</f>
        <v>0.87773481261971031</v>
      </c>
    </row>
    <row r="424" spans="1:11" x14ac:dyDescent="0.3">
      <c r="A424" s="2">
        <v>44984</v>
      </c>
      <c r="B424" s="3" t="s">
        <v>23</v>
      </c>
      <c r="C424" s="3" t="s">
        <v>8</v>
      </c>
      <c r="D424" s="3" t="s">
        <v>18</v>
      </c>
      <c r="E424" s="3" t="s">
        <v>21</v>
      </c>
      <c r="F424" s="3" t="s">
        <v>28</v>
      </c>
      <c r="G424" s="3">
        <v>6916.36</v>
      </c>
      <c r="H424" s="3">
        <v>7839.9</v>
      </c>
      <c r="I424" s="3" t="s">
        <v>32</v>
      </c>
      <c r="J424" s="3">
        <v>2</v>
      </c>
      <c r="K424" s="5">
        <f>actual_vs_target_sales_dataset[[#This Row],[Sales_ Amount]]/actual_vs_target_sales_dataset[[#This Row],[Sales_Target]]</f>
        <v>0.88220002806158238</v>
      </c>
    </row>
    <row r="425" spans="1:11" x14ac:dyDescent="0.3">
      <c r="A425" s="2">
        <v>44985</v>
      </c>
      <c r="B425" s="3" t="s">
        <v>13</v>
      </c>
      <c r="C425" s="3" t="s">
        <v>22</v>
      </c>
      <c r="D425" s="3" t="s">
        <v>15</v>
      </c>
      <c r="E425" s="3" t="s">
        <v>21</v>
      </c>
      <c r="F425" s="3" t="s">
        <v>27</v>
      </c>
      <c r="G425" s="3">
        <v>-3720.67</v>
      </c>
      <c r="H425" s="3">
        <v>-3886.5</v>
      </c>
      <c r="I425" s="3" t="s">
        <v>32</v>
      </c>
      <c r="J425" s="3">
        <v>2</v>
      </c>
      <c r="K425" s="5">
        <f>actual_vs_target_sales_dataset[[#This Row],[Sales_ Amount]]/actual_vs_target_sales_dataset[[#This Row],[Sales_Target]]</f>
        <v>0.95733178952785281</v>
      </c>
    </row>
    <row r="426" spans="1:11" x14ac:dyDescent="0.3">
      <c r="A426" s="2">
        <v>44986</v>
      </c>
      <c r="B426" s="3" t="s">
        <v>7</v>
      </c>
      <c r="C426" s="3" t="s">
        <v>22</v>
      </c>
      <c r="D426" s="3" t="s">
        <v>24</v>
      </c>
      <c r="E426" s="3" t="s">
        <v>19</v>
      </c>
      <c r="F426" s="3" t="s">
        <v>30</v>
      </c>
      <c r="G426" s="3">
        <v>5189.9399999999996</v>
      </c>
      <c r="H426" s="3">
        <v>5983.81</v>
      </c>
      <c r="I426" s="3" t="s">
        <v>33</v>
      </c>
      <c r="J426" s="3">
        <v>3</v>
      </c>
      <c r="K426" s="5">
        <f>actual_vs_target_sales_dataset[[#This Row],[Sales_ Amount]]/actual_vs_target_sales_dataset[[#This Row],[Sales_Target]]</f>
        <v>0.86733034638466111</v>
      </c>
    </row>
    <row r="427" spans="1:11" x14ac:dyDescent="0.3">
      <c r="A427" s="2">
        <v>44987</v>
      </c>
      <c r="B427" s="3" t="s">
        <v>7</v>
      </c>
      <c r="C427" s="3" t="s">
        <v>8</v>
      </c>
      <c r="D427" s="3" t="s">
        <v>9</v>
      </c>
      <c r="E427" s="3" t="s">
        <v>19</v>
      </c>
      <c r="F427" s="3" t="s">
        <v>30</v>
      </c>
      <c r="G427" s="3">
        <v>11959.05</v>
      </c>
      <c r="H427" s="3">
        <v>11732.31</v>
      </c>
      <c r="I427" s="3" t="s">
        <v>33</v>
      </c>
      <c r="J427" s="3">
        <v>3</v>
      </c>
      <c r="K427" s="5">
        <f>actual_vs_target_sales_dataset[[#This Row],[Sales_ Amount]]/actual_vs_target_sales_dataset[[#This Row],[Sales_Target]]</f>
        <v>1.0193261173630768</v>
      </c>
    </row>
    <row r="428" spans="1:11" x14ac:dyDescent="0.3">
      <c r="A428" s="2">
        <v>44988</v>
      </c>
      <c r="B428" s="3" t="s">
        <v>17</v>
      </c>
      <c r="C428" s="3" t="s">
        <v>25</v>
      </c>
      <c r="D428" s="3" t="s">
        <v>15</v>
      </c>
      <c r="E428" s="3" t="s">
        <v>19</v>
      </c>
      <c r="F428" s="3" t="s">
        <v>27</v>
      </c>
      <c r="G428" s="3">
        <v>5308.95</v>
      </c>
      <c r="H428" s="3">
        <v>5630.21</v>
      </c>
      <c r="I428" s="3" t="s">
        <v>33</v>
      </c>
      <c r="J428" s="3">
        <v>3</v>
      </c>
      <c r="K428" s="5">
        <f>actual_vs_target_sales_dataset[[#This Row],[Sales_ Amount]]/actual_vs_target_sales_dataset[[#This Row],[Sales_Target]]</f>
        <v>0.94293996138687541</v>
      </c>
    </row>
    <row r="429" spans="1:11" x14ac:dyDescent="0.3">
      <c r="A429" s="2">
        <v>44989</v>
      </c>
      <c r="B429" s="3" t="s">
        <v>13</v>
      </c>
      <c r="C429" s="3" t="s">
        <v>22</v>
      </c>
      <c r="D429" s="3" t="s">
        <v>18</v>
      </c>
      <c r="E429" s="3" t="s">
        <v>10</v>
      </c>
      <c r="F429" s="3" t="s">
        <v>27</v>
      </c>
      <c r="G429" s="3">
        <v>10710.38</v>
      </c>
      <c r="H429" s="3">
        <v>9788.1</v>
      </c>
      <c r="I429" s="3" t="s">
        <v>33</v>
      </c>
      <c r="J429" s="3">
        <v>3</v>
      </c>
      <c r="K429" s="5">
        <f>actual_vs_target_sales_dataset[[#This Row],[Sales_ Amount]]/actual_vs_target_sales_dataset[[#This Row],[Sales_Target]]</f>
        <v>1.0942246196912577</v>
      </c>
    </row>
    <row r="430" spans="1:11" x14ac:dyDescent="0.3">
      <c r="A430" s="2">
        <v>44990</v>
      </c>
      <c r="B430" s="3" t="s">
        <v>17</v>
      </c>
      <c r="C430" s="3" t="s">
        <v>8</v>
      </c>
      <c r="D430" s="3" t="s">
        <v>24</v>
      </c>
      <c r="E430" s="3" t="s">
        <v>10</v>
      </c>
      <c r="F430" s="3" t="s">
        <v>28</v>
      </c>
      <c r="G430" s="3">
        <v>2102.73</v>
      </c>
      <c r="H430" s="3">
        <v>1897.21</v>
      </c>
      <c r="I430" s="3" t="s">
        <v>33</v>
      </c>
      <c r="J430" s="3">
        <v>3</v>
      </c>
      <c r="K430" s="5">
        <f>actual_vs_target_sales_dataset[[#This Row],[Sales_ Amount]]/actual_vs_target_sales_dataset[[#This Row],[Sales_Target]]</f>
        <v>1.1083274914216139</v>
      </c>
    </row>
    <row r="431" spans="1:11" x14ac:dyDescent="0.3">
      <c r="A431" s="2">
        <v>44991</v>
      </c>
      <c r="B431" s="3" t="s">
        <v>17</v>
      </c>
      <c r="C431" s="3" t="s">
        <v>14</v>
      </c>
      <c r="D431" s="3" t="s">
        <v>9</v>
      </c>
      <c r="E431" s="3" t="s">
        <v>21</v>
      </c>
      <c r="F431" s="3" t="s">
        <v>26</v>
      </c>
      <c r="G431" s="3">
        <v>8796.84</v>
      </c>
      <c r="H431" s="3">
        <v>8989.2999999999993</v>
      </c>
      <c r="I431" s="3" t="s">
        <v>33</v>
      </c>
      <c r="J431" s="3">
        <v>3</v>
      </c>
      <c r="K431" s="5">
        <f>actual_vs_target_sales_dataset[[#This Row],[Sales_ Amount]]/actual_vs_target_sales_dataset[[#This Row],[Sales_Target]]</f>
        <v>0.97859010156519433</v>
      </c>
    </row>
    <row r="432" spans="1:11" x14ac:dyDescent="0.3">
      <c r="A432" s="2">
        <v>44992</v>
      </c>
      <c r="B432" s="3" t="s">
        <v>20</v>
      </c>
      <c r="C432" s="3" t="s">
        <v>8</v>
      </c>
      <c r="D432" s="3" t="s">
        <v>24</v>
      </c>
      <c r="E432" s="3" t="s">
        <v>19</v>
      </c>
      <c r="F432" s="3" t="s">
        <v>28</v>
      </c>
      <c r="G432" s="3">
        <v>-474.31</v>
      </c>
      <c r="H432" s="3">
        <v>-486.98</v>
      </c>
      <c r="I432" s="3" t="s">
        <v>33</v>
      </c>
      <c r="J432" s="3">
        <v>3</v>
      </c>
      <c r="K432" s="5">
        <f>actual_vs_target_sales_dataset[[#This Row],[Sales_ Amount]]/actual_vs_target_sales_dataset[[#This Row],[Sales_Target]]</f>
        <v>0.9739825044149657</v>
      </c>
    </row>
    <row r="433" spans="1:11" x14ac:dyDescent="0.3">
      <c r="A433" s="2">
        <v>44993</v>
      </c>
      <c r="B433" s="3" t="s">
        <v>17</v>
      </c>
      <c r="C433" s="3" t="s">
        <v>14</v>
      </c>
      <c r="D433" s="3" t="s">
        <v>24</v>
      </c>
      <c r="E433" s="3" t="s">
        <v>21</v>
      </c>
      <c r="F433" s="3" t="s">
        <v>26</v>
      </c>
      <c r="G433" s="3">
        <v>7671.36</v>
      </c>
      <c r="H433" s="3">
        <v>8376.4500000000007</v>
      </c>
      <c r="I433" s="3" t="s">
        <v>33</v>
      </c>
      <c r="J433" s="3">
        <v>3</v>
      </c>
      <c r="K433" s="5">
        <f>actual_vs_target_sales_dataset[[#This Row],[Sales_ Amount]]/actual_vs_target_sales_dataset[[#This Row],[Sales_Target]]</f>
        <v>0.91582472288379912</v>
      </c>
    </row>
    <row r="434" spans="1:11" x14ac:dyDescent="0.3">
      <c r="A434" s="2">
        <v>44994</v>
      </c>
      <c r="B434" s="3" t="s">
        <v>17</v>
      </c>
      <c r="C434" s="3" t="s">
        <v>22</v>
      </c>
      <c r="D434" s="3" t="s">
        <v>9</v>
      </c>
      <c r="E434" s="3" t="s">
        <v>19</v>
      </c>
      <c r="F434" s="3" t="s">
        <v>29</v>
      </c>
      <c r="G434" s="3">
        <v>6905.53</v>
      </c>
      <c r="H434" s="3">
        <v>5894.86</v>
      </c>
      <c r="I434" s="3" t="s">
        <v>33</v>
      </c>
      <c r="J434" s="3">
        <v>3</v>
      </c>
      <c r="K434" s="5">
        <f>actual_vs_target_sales_dataset[[#This Row],[Sales_ Amount]]/actual_vs_target_sales_dataset[[#This Row],[Sales_Target]]</f>
        <v>1.1714493643614947</v>
      </c>
    </row>
    <row r="435" spans="1:11" x14ac:dyDescent="0.3">
      <c r="A435" s="2">
        <v>44995</v>
      </c>
      <c r="B435" s="3" t="s">
        <v>13</v>
      </c>
      <c r="C435" s="3" t="s">
        <v>22</v>
      </c>
      <c r="D435" s="3" t="s">
        <v>15</v>
      </c>
      <c r="E435" s="3" t="s">
        <v>21</v>
      </c>
      <c r="F435" s="3" t="s">
        <v>16</v>
      </c>
      <c r="G435" s="3">
        <v>9856.2800000000007</v>
      </c>
      <c r="H435" s="3">
        <v>9691.4</v>
      </c>
      <c r="I435" s="3" t="s">
        <v>33</v>
      </c>
      <c r="J435" s="3">
        <v>3</v>
      </c>
      <c r="K435" s="5">
        <f>actual_vs_target_sales_dataset[[#This Row],[Sales_ Amount]]/actual_vs_target_sales_dataset[[#This Row],[Sales_Target]]</f>
        <v>1.0170130218544278</v>
      </c>
    </row>
    <row r="436" spans="1:11" x14ac:dyDescent="0.3">
      <c r="A436" s="2">
        <v>44996</v>
      </c>
      <c r="B436" s="3" t="s">
        <v>7</v>
      </c>
      <c r="C436" s="3" t="s">
        <v>22</v>
      </c>
      <c r="D436" s="3" t="s">
        <v>18</v>
      </c>
      <c r="E436" s="3" t="s">
        <v>19</v>
      </c>
      <c r="F436" s="3" t="s">
        <v>27</v>
      </c>
      <c r="G436" s="3">
        <v>12107.29</v>
      </c>
      <c r="H436" s="3">
        <v>11168.15</v>
      </c>
      <c r="I436" s="3" t="s">
        <v>33</v>
      </c>
      <c r="J436" s="3">
        <v>3</v>
      </c>
      <c r="K436" s="5">
        <f>actual_vs_target_sales_dataset[[#This Row],[Sales_ Amount]]/actual_vs_target_sales_dataset[[#This Row],[Sales_Target]]</f>
        <v>1.0840909192659485</v>
      </c>
    </row>
    <row r="437" spans="1:11" x14ac:dyDescent="0.3">
      <c r="A437" s="2">
        <v>44997</v>
      </c>
      <c r="B437" s="3" t="s">
        <v>13</v>
      </c>
      <c r="C437" s="3" t="s">
        <v>8</v>
      </c>
      <c r="D437" s="3" t="s">
        <v>18</v>
      </c>
      <c r="E437" s="3" t="s">
        <v>21</v>
      </c>
      <c r="F437" s="3" t="s">
        <v>29</v>
      </c>
      <c r="G437" s="3">
        <v>6477.18</v>
      </c>
      <c r="H437" s="3">
        <v>6244.68</v>
      </c>
      <c r="I437" s="3" t="s">
        <v>33</v>
      </c>
      <c r="J437" s="3">
        <v>3</v>
      </c>
      <c r="K437" s="5">
        <f>actual_vs_target_sales_dataset[[#This Row],[Sales_ Amount]]/actual_vs_target_sales_dataset[[#This Row],[Sales_Target]]</f>
        <v>1.0372316916159035</v>
      </c>
    </row>
    <row r="438" spans="1:11" x14ac:dyDescent="0.3">
      <c r="A438" s="2">
        <v>44998</v>
      </c>
      <c r="B438" s="3" t="s">
        <v>20</v>
      </c>
      <c r="C438" s="3" t="s">
        <v>14</v>
      </c>
      <c r="D438" s="3" t="s">
        <v>15</v>
      </c>
      <c r="E438" s="3" t="s">
        <v>21</v>
      </c>
      <c r="F438" s="3" t="s">
        <v>26</v>
      </c>
      <c r="G438" s="3">
        <v>6256.75</v>
      </c>
      <c r="H438" s="3">
        <v>6080.65</v>
      </c>
      <c r="I438" s="3" t="s">
        <v>33</v>
      </c>
      <c r="J438" s="3">
        <v>3</v>
      </c>
      <c r="K438" s="5">
        <f>actual_vs_target_sales_dataset[[#This Row],[Sales_ Amount]]/actual_vs_target_sales_dataset[[#This Row],[Sales_Target]]</f>
        <v>1.0289607196599049</v>
      </c>
    </row>
    <row r="439" spans="1:11" x14ac:dyDescent="0.3">
      <c r="A439" s="2">
        <v>44999</v>
      </c>
      <c r="B439" s="3" t="s">
        <v>13</v>
      </c>
      <c r="C439" s="3" t="s">
        <v>8</v>
      </c>
      <c r="D439" s="3" t="s">
        <v>18</v>
      </c>
      <c r="E439" s="3" t="s">
        <v>21</v>
      </c>
      <c r="F439" s="3" t="s">
        <v>11</v>
      </c>
      <c r="G439" s="3">
        <v>10391.120000000001</v>
      </c>
      <c r="H439" s="3">
        <v>10821.54</v>
      </c>
      <c r="I439" s="3" t="s">
        <v>33</v>
      </c>
      <c r="J439" s="3">
        <v>3</v>
      </c>
      <c r="K439" s="5">
        <f>actual_vs_target_sales_dataset[[#This Row],[Sales_ Amount]]/actual_vs_target_sales_dataset[[#This Row],[Sales_Target]]</f>
        <v>0.96022562407938239</v>
      </c>
    </row>
    <row r="440" spans="1:11" x14ac:dyDescent="0.3">
      <c r="A440" s="2">
        <v>45000</v>
      </c>
      <c r="B440" s="3" t="s">
        <v>7</v>
      </c>
      <c r="C440" s="3" t="s">
        <v>14</v>
      </c>
      <c r="D440" s="3" t="s">
        <v>18</v>
      </c>
      <c r="E440" s="3" t="s">
        <v>21</v>
      </c>
      <c r="F440" s="3" t="s">
        <v>27</v>
      </c>
      <c r="G440" s="3">
        <v>14688.1</v>
      </c>
      <c r="H440" s="3">
        <v>12280.58</v>
      </c>
      <c r="I440" s="3" t="s">
        <v>33</v>
      </c>
      <c r="J440" s="3">
        <v>3</v>
      </c>
      <c r="K440" s="5">
        <f>actual_vs_target_sales_dataset[[#This Row],[Sales_ Amount]]/actual_vs_target_sales_dataset[[#This Row],[Sales_Target]]</f>
        <v>1.1960428579106199</v>
      </c>
    </row>
    <row r="441" spans="1:11" x14ac:dyDescent="0.3">
      <c r="A441" s="2">
        <v>45001</v>
      </c>
      <c r="B441" s="3" t="s">
        <v>23</v>
      </c>
      <c r="C441" s="3" t="s">
        <v>8</v>
      </c>
      <c r="D441" s="3" t="s">
        <v>24</v>
      </c>
      <c r="E441" s="3" t="s">
        <v>21</v>
      </c>
      <c r="F441" s="3" t="s">
        <v>26</v>
      </c>
      <c r="G441" s="3">
        <v>7805.51</v>
      </c>
      <c r="H441" s="3">
        <v>7395.83</v>
      </c>
      <c r="I441" s="3" t="s">
        <v>33</v>
      </c>
      <c r="J441" s="3">
        <v>3</v>
      </c>
      <c r="K441" s="5">
        <f>actual_vs_target_sales_dataset[[#This Row],[Sales_ Amount]]/actual_vs_target_sales_dataset[[#This Row],[Sales_Target]]</f>
        <v>1.0553933770787052</v>
      </c>
    </row>
    <row r="442" spans="1:11" x14ac:dyDescent="0.3">
      <c r="A442" s="2">
        <v>45002</v>
      </c>
      <c r="B442" s="3" t="s">
        <v>17</v>
      </c>
      <c r="C442" s="3" t="s">
        <v>25</v>
      </c>
      <c r="D442" s="3" t="s">
        <v>15</v>
      </c>
      <c r="E442" s="3" t="s">
        <v>21</v>
      </c>
      <c r="F442" s="3" t="s">
        <v>31</v>
      </c>
      <c r="G442" s="3">
        <v>1645.12</v>
      </c>
      <c r="H442" s="3">
        <v>1701.03</v>
      </c>
      <c r="I442" s="3" t="s">
        <v>33</v>
      </c>
      <c r="J442" s="3">
        <v>3</v>
      </c>
      <c r="K442" s="5">
        <f>actual_vs_target_sales_dataset[[#This Row],[Sales_ Amount]]/actual_vs_target_sales_dataset[[#This Row],[Sales_Target]]</f>
        <v>0.96713167904152186</v>
      </c>
    </row>
    <row r="443" spans="1:11" x14ac:dyDescent="0.3">
      <c r="A443" s="2">
        <v>45003</v>
      </c>
      <c r="B443" s="3" t="s">
        <v>7</v>
      </c>
      <c r="C443" s="3" t="s">
        <v>8</v>
      </c>
      <c r="D443" s="3" t="s">
        <v>18</v>
      </c>
      <c r="E443" s="3" t="s">
        <v>10</v>
      </c>
      <c r="F443" s="3" t="s">
        <v>11</v>
      </c>
      <c r="G443" s="3">
        <v>10486.3</v>
      </c>
      <c r="H443" s="3">
        <v>10625.92</v>
      </c>
      <c r="I443" s="3" t="s">
        <v>33</v>
      </c>
      <c r="J443" s="3">
        <v>3</v>
      </c>
      <c r="K443" s="5">
        <f>actual_vs_target_sales_dataset[[#This Row],[Sales_ Amount]]/actual_vs_target_sales_dataset[[#This Row],[Sales_Target]]</f>
        <v>0.98686043184966565</v>
      </c>
    </row>
    <row r="444" spans="1:11" x14ac:dyDescent="0.3">
      <c r="A444" s="2">
        <v>45004</v>
      </c>
      <c r="B444" s="3" t="s">
        <v>17</v>
      </c>
      <c r="C444" s="3" t="s">
        <v>8</v>
      </c>
      <c r="D444" s="3" t="s">
        <v>24</v>
      </c>
      <c r="E444" s="3" t="s">
        <v>19</v>
      </c>
      <c r="F444" s="3" t="s">
        <v>16</v>
      </c>
      <c r="G444" s="3">
        <v>18617.71</v>
      </c>
      <c r="H444" s="3">
        <v>19535.3</v>
      </c>
      <c r="I444" s="3" t="s">
        <v>33</v>
      </c>
      <c r="J444" s="3">
        <v>3</v>
      </c>
      <c r="K444" s="5">
        <f>actual_vs_target_sales_dataset[[#This Row],[Sales_ Amount]]/actual_vs_target_sales_dataset[[#This Row],[Sales_Target]]</f>
        <v>0.95302913187921356</v>
      </c>
    </row>
    <row r="445" spans="1:11" x14ac:dyDescent="0.3">
      <c r="A445" s="2">
        <v>45005</v>
      </c>
      <c r="B445" s="3" t="s">
        <v>13</v>
      </c>
      <c r="C445" s="3" t="s">
        <v>22</v>
      </c>
      <c r="D445" s="3" t="s">
        <v>18</v>
      </c>
      <c r="E445" s="3" t="s">
        <v>21</v>
      </c>
      <c r="F445" s="3" t="s">
        <v>28</v>
      </c>
      <c r="G445" s="3">
        <v>1968.18</v>
      </c>
      <c r="H445" s="3">
        <v>2065.31</v>
      </c>
      <c r="I445" s="3" t="s">
        <v>33</v>
      </c>
      <c r="J445" s="3">
        <v>3</v>
      </c>
      <c r="K445" s="5">
        <f>actual_vs_target_sales_dataset[[#This Row],[Sales_ Amount]]/actual_vs_target_sales_dataset[[#This Row],[Sales_Target]]</f>
        <v>0.95297074046995367</v>
      </c>
    </row>
    <row r="446" spans="1:11" x14ac:dyDescent="0.3">
      <c r="A446" s="2">
        <v>45006</v>
      </c>
      <c r="B446" s="3" t="s">
        <v>20</v>
      </c>
      <c r="C446" s="3" t="s">
        <v>25</v>
      </c>
      <c r="D446" s="3" t="s">
        <v>24</v>
      </c>
      <c r="E446" s="3" t="s">
        <v>19</v>
      </c>
      <c r="F446" s="3" t="s">
        <v>29</v>
      </c>
      <c r="G446" s="3">
        <v>3941.17</v>
      </c>
      <c r="H446" s="3">
        <v>3784.07</v>
      </c>
      <c r="I446" s="3" t="s">
        <v>33</v>
      </c>
      <c r="J446" s="3">
        <v>3</v>
      </c>
      <c r="K446" s="5">
        <f>actual_vs_target_sales_dataset[[#This Row],[Sales_ Amount]]/actual_vs_target_sales_dataset[[#This Row],[Sales_Target]]</f>
        <v>1.0415161453144366</v>
      </c>
    </row>
    <row r="447" spans="1:11" x14ac:dyDescent="0.3">
      <c r="A447" s="2">
        <v>45007</v>
      </c>
      <c r="B447" s="3" t="s">
        <v>7</v>
      </c>
      <c r="C447" s="3" t="s">
        <v>22</v>
      </c>
      <c r="D447" s="3" t="s">
        <v>15</v>
      </c>
      <c r="E447" s="3" t="s">
        <v>21</v>
      </c>
      <c r="F447" s="3" t="s">
        <v>11</v>
      </c>
      <c r="G447" s="3">
        <v>8222.35</v>
      </c>
      <c r="H447" s="3">
        <v>8229.15</v>
      </c>
      <c r="I447" s="3" t="s">
        <v>33</v>
      </c>
      <c r="J447" s="3">
        <v>3</v>
      </c>
      <c r="K447" s="5">
        <f>actual_vs_target_sales_dataset[[#This Row],[Sales_ Amount]]/actual_vs_target_sales_dataset[[#This Row],[Sales_Target]]</f>
        <v>0.99917366921249473</v>
      </c>
    </row>
    <row r="448" spans="1:11" x14ac:dyDescent="0.3">
      <c r="A448" s="2">
        <v>45008</v>
      </c>
      <c r="B448" s="3" t="s">
        <v>17</v>
      </c>
      <c r="C448" s="3" t="s">
        <v>22</v>
      </c>
      <c r="D448" s="3" t="s">
        <v>15</v>
      </c>
      <c r="E448" s="3" t="s">
        <v>21</v>
      </c>
      <c r="F448" s="3" t="s">
        <v>26</v>
      </c>
      <c r="G448" s="3">
        <v>13014.77</v>
      </c>
      <c r="H448" s="3">
        <v>14764.34</v>
      </c>
      <c r="I448" s="3" t="s">
        <v>33</v>
      </c>
      <c r="J448" s="3">
        <v>3</v>
      </c>
      <c r="K448" s="5">
        <f>actual_vs_target_sales_dataset[[#This Row],[Sales_ Amount]]/actual_vs_target_sales_dataset[[#This Row],[Sales_Target]]</f>
        <v>0.88150029056496937</v>
      </c>
    </row>
    <row r="449" spans="1:11" x14ac:dyDescent="0.3">
      <c r="A449" s="2">
        <v>45009</v>
      </c>
      <c r="B449" s="3" t="s">
        <v>17</v>
      </c>
      <c r="C449" s="3" t="s">
        <v>8</v>
      </c>
      <c r="D449" s="3" t="s">
        <v>18</v>
      </c>
      <c r="E449" s="3" t="s">
        <v>10</v>
      </c>
      <c r="F449" s="3" t="s">
        <v>26</v>
      </c>
      <c r="G449" s="3">
        <v>12135.64</v>
      </c>
      <c r="H449" s="3">
        <v>11455.92</v>
      </c>
      <c r="I449" s="3" t="s">
        <v>33</v>
      </c>
      <c r="J449" s="3">
        <v>3</v>
      </c>
      <c r="K449" s="5">
        <f>actual_vs_target_sales_dataset[[#This Row],[Sales_ Amount]]/actual_vs_target_sales_dataset[[#This Row],[Sales_Target]]</f>
        <v>1.059333514898847</v>
      </c>
    </row>
    <row r="450" spans="1:11" x14ac:dyDescent="0.3">
      <c r="A450" s="2">
        <v>45010</v>
      </c>
      <c r="B450" s="3" t="s">
        <v>13</v>
      </c>
      <c r="C450" s="3" t="s">
        <v>14</v>
      </c>
      <c r="D450" s="3" t="s">
        <v>9</v>
      </c>
      <c r="E450" s="3" t="s">
        <v>19</v>
      </c>
      <c r="F450" s="3" t="s">
        <v>31</v>
      </c>
      <c r="G450" s="3">
        <v>18490.900000000001</v>
      </c>
      <c r="H450" s="3">
        <v>20725.89</v>
      </c>
      <c r="I450" s="3" t="s">
        <v>33</v>
      </c>
      <c r="J450" s="3">
        <v>3</v>
      </c>
      <c r="K450" s="5">
        <f>actual_vs_target_sales_dataset[[#This Row],[Sales_ Amount]]/actual_vs_target_sales_dataset[[#This Row],[Sales_Target]]</f>
        <v>0.89216434131417288</v>
      </c>
    </row>
    <row r="451" spans="1:11" x14ac:dyDescent="0.3">
      <c r="A451" s="2">
        <v>45011</v>
      </c>
      <c r="B451" s="3" t="s">
        <v>17</v>
      </c>
      <c r="C451" s="3" t="s">
        <v>8</v>
      </c>
      <c r="D451" s="3" t="s">
        <v>15</v>
      </c>
      <c r="E451" s="3" t="s">
        <v>19</v>
      </c>
      <c r="F451" s="3" t="s">
        <v>28</v>
      </c>
      <c r="G451" s="3">
        <v>781.09</v>
      </c>
      <c r="H451" s="3">
        <v>681.66</v>
      </c>
      <c r="I451" s="3" t="s">
        <v>33</v>
      </c>
      <c r="J451" s="3">
        <v>3</v>
      </c>
      <c r="K451" s="5">
        <f>actual_vs_target_sales_dataset[[#This Row],[Sales_ Amount]]/actual_vs_target_sales_dataset[[#This Row],[Sales_Target]]</f>
        <v>1.1458645072323446</v>
      </c>
    </row>
    <row r="452" spans="1:11" x14ac:dyDescent="0.3">
      <c r="A452" s="2">
        <v>45012</v>
      </c>
      <c r="B452" s="3" t="s">
        <v>17</v>
      </c>
      <c r="C452" s="3" t="s">
        <v>14</v>
      </c>
      <c r="D452" s="3" t="s">
        <v>9</v>
      </c>
      <c r="E452" s="3" t="s">
        <v>21</v>
      </c>
      <c r="F452" s="3" t="s">
        <v>11</v>
      </c>
      <c r="G452" s="3">
        <v>13113.19</v>
      </c>
      <c r="H452" s="3">
        <v>14496.89</v>
      </c>
      <c r="I452" s="3" t="s">
        <v>33</v>
      </c>
      <c r="J452" s="3">
        <v>3</v>
      </c>
      <c r="K452" s="5">
        <f>actual_vs_target_sales_dataset[[#This Row],[Sales_ Amount]]/actual_vs_target_sales_dataset[[#This Row],[Sales_Target]]</f>
        <v>0.90455194183028231</v>
      </c>
    </row>
    <row r="453" spans="1:11" x14ac:dyDescent="0.3">
      <c r="A453" s="2">
        <v>45013</v>
      </c>
      <c r="B453" s="3" t="s">
        <v>23</v>
      </c>
      <c r="C453" s="3" t="s">
        <v>14</v>
      </c>
      <c r="D453" s="3" t="s">
        <v>18</v>
      </c>
      <c r="E453" s="3" t="s">
        <v>19</v>
      </c>
      <c r="F453" s="3" t="s">
        <v>27</v>
      </c>
      <c r="G453" s="3">
        <v>4177.72</v>
      </c>
      <c r="H453" s="3">
        <v>4253.55</v>
      </c>
      <c r="I453" s="3" t="s">
        <v>33</v>
      </c>
      <c r="J453" s="3">
        <v>3</v>
      </c>
      <c r="K453" s="5">
        <f>actual_vs_target_sales_dataset[[#This Row],[Sales_ Amount]]/actual_vs_target_sales_dataset[[#This Row],[Sales_Target]]</f>
        <v>0.98217253823277029</v>
      </c>
    </row>
    <row r="454" spans="1:11" x14ac:dyDescent="0.3">
      <c r="A454" s="2">
        <v>45014</v>
      </c>
      <c r="B454" s="3" t="s">
        <v>23</v>
      </c>
      <c r="C454" s="3" t="s">
        <v>8</v>
      </c>
      <c r="D454" s="3" t="s">
        <v>18</v>
      </c>
      <c r="E454" s="3" t="s">
        <v>19</v>
      </c>
      <c r="F454" s="3" t="s">
        <v>30</v>
      </c>
      <c r="G454" s="3">
        <v>7331.14</v>
      </c>
      <c r="H454" s="3">
        <v>7931.51</v>
      </c>
      <c r="I454" s="3" t="s">
        <v>33</v>
      </c>
      <c r="J454" s="3">
        <v>3</v>
      </c>
      <c r="K454" s="5">
        <f>actual_vs_target_sales_dataset[[#This Row],[Sales_ Amount]]/actual_vs_target_sales_dataset[[#This Row],[Sales_Target]]</f>
        <v>0.92430571227925074</v>
      </c>
    </row>
    <row r="455" spans="1:11" x14ac:dyDescent="0.3">
      <c r="A455" s="2">
        <v>45015</v>
      </c>
      <c r="B455" s="3" t="s">
        <v>17</v>
      </c>
      <c r="C455" s="3" t="s">
        <v>8</v>
      </c>
      <c r="D455" s="3" t="s">
        <v>9</v>
      </c>
      <c r="E455" s="3" t="s">
        <v>19</v>
      </c>
      <c r="F455" s="3" t="s">
        <v>29</v>
      </c>
      <c r="G455" s="3">
        <v>-1374.53</v>
      </c>
      <c r="H455" s="3">
        <v>-1370.82</v>
      </c>
      <c r="I455" s="3" t="s">
        <v>33</v>
      </c>
      <c r="J455" s="3">
        <v>3</v>
      </c>
      <c r="K455" s="5">
        <f>actual_vs_target_sales_dataset[[#This Row],[Sales_ Amount]]/actual_vs_target_sales_dataset[[#This Row],[Sales_Target]]</f>
        <v>1.0027064093024614</v>
      </c>
    </row>
    <row r="456" spans="1:11" x14ac:dyDescent="0.3">
      <c r="A456" s="2">
        <v>45016</v>
      </c>
      <c r="B456" s="3" t="s">
        <v>17</v>
      </c>
      <c r="C456" s="3" t="s">
        <v>14</v>
      </c>
      <c r="D456" s="3" t="s">
        <v>15</v>
      </c>
      <c r="E456" s="3" t="s">
        <v>21</v>
      </c>
      <c r="F456" s="3" t="s">
        <v>29</v>
      </c>
      <c r="G456" s="3">
        <v>6359.94</v>
      </c>
      <c r="H456" s="3">
        <v>5706.57</v>
      </c>
      <c r="I456" s="3" t="s">
        <v>33</v>
      </c>
      <c r="J456" s="3">
        <v>3</v>
      </c>
      <c r="K456" s="5">
        <f>actual_vs_target_sales_dataset[[#This Row],[Sales_ Amount]]/actual_vs_target_sales_dataset[[#This Row],[Sales_Target]]</f>
        <v>1.114494345990674</v>
      </c>
    </row>
    <row r="457" spans="1:11" x14ac:dyDescent="0.3">
      <c r="A457" s="2">
        <v>45017</v>
      </c>
      <c r="B457" s="3" t="s">
        <v>7</v>
      </c>
      <c r="C457" s="3" t="s">
        <v>25</v>
      </c>
      <c r="D457" s="3" t="s">
        <v>15</v>
      </c>
      <c r="E457" s="3" t="s">
        <v>21</v>
      </c>
      <c r="F457" s="3" t="s">
        <v>16</v>
      </c>
      <c r="G457" s="3">
        <v>6952.85</v>
      </c>
      <c r="H457" s="3">
        <v>7335.45</v>
      </c>
      <c r="I457" s="3" t="s">
        <v>34</v>
      </c>
      <c r="J457" s="3">
        <v>4</v>
      </c>
      <c r="K457" s="5">
        <f>actual_vs_target_sales_dataset[[#This Row],[Sales_ Amount]]/actual_vs_target_sales_dataset[[#This Row],[Sales_Target]]</f>
        <v>0.94784232732824847</v>
      </c>
    </row>
    <row r="458" spans="1:11" x14ac:dyDescent="0.3">
      <c r="A458" s="2">
        <v>45018</v>
      </c>
      <c r="B458" s="3" t="s">
        <v>23</v>
      </c>
      <c r="C458" s="3" t="s">
        <v>22</v>
      </c>
      <c r="D458" s="3" t="s">
        <v>24</v>
      </c>
      <c r="E458" s="3" t="s">
        <v>21</v>
      </c>
      <c r="F458" s="3" t="s">
        <v>29</v>
      </c>
      <c r="G458" s="3">
        <v>1549.8</v>
      </c>
      <c r="H458" s="3">
        <v>1398.29</v>
      </c>
      <c r="I458" s="3" t="s">
        <v>34</v>
      </c>
      <c r="J458" s="3">
        <v>4</v>
      </c>
      <c r="K458" s="5">
        <f>actual_vs_target_sales_dataset[[#This Row],[Sales_ Amount]]/actual_vs_target_sales_dataset[[#This Row],[Sales_Target]]</f>
        <v>1.1083537749679966</v>
      </c>
    </row>
    <row r="459" spans="1:11" x14ac:dyDescent="0.3">
      <c r="A459" s="2">
        <v>45019</v>
      </c>
      <c r="B459" s="3" t="s">
        <v>23</v>
      </c>
      <c r="C459" s="3" t="s">
        <v>8</v>
      </c>
      <c r="D459" s="3" t="s">
        <v>15</v>
      </c>
      <c r="E459" s="3" t="s">
        <v>19</v>
      </c>
      <c r="F459" s="3" t="s">
        <v>11</v>
      </c>
      <c r="G459" s="3">
        <v>15456.09</v>
      </c>
      <c r="H459" s="3">
        <v>17629.79</v>
      </c>
      <c r="I459" s="3" t="s">
        <v>34</v>
      </c>
      <c r="J459" s="3">
        <v>4</v>
      </c>
      <c r="K459" s="5">
        <f>actual_vs_target_sales_dataset[[#This Row],[Sales_ Amount]]/actual_vs_target_sales_dataset[[#This Row],[Sales_Target]]</f>
        <v>0.87670301234444648</v>
      </c>
    </row>
    <row r="460" spans="1:11" x14ac:dyDescent="0.3">
      <c r="A460" s="2">
        <v>45020</v>
      </c>
      <c r="B460" s="3" t="s">
        <v>7</v>
      </c>
      <c r="C460" s="3" t="s">
        <v>22</v>
      </c>
      <c r="D460" s="3" t="s">
        <v>9</v>
      </c>
      <c r="E460" s="3" t="s">
        <v>21</v>
      </c>
      <c r="F460" s="3" t="s">
        <v>11</v>
      </c>
      <c r="G460" s="3">
        <v>13650.55</v>
      </c>
      <c r="H460" s="3">
        <v>13512.44</v>
      </c>
      <c r="I460" s="3" t="s">
        <v>34</v>
      </c>
      <c r="J460" s="3">
        <v>4</v>
      </c>
      <c r="K460" s="5">
        <f>actual_vs_target_sales_dataset[[#This Row],[Sales_ Amount]]/actual_vs_target_sales_dataset[[#This Row],[Sales_Target]]</f>
        <v>1.010220951952423</v>
      </c>
    </row>
    <row r="461" spans="1:11" x14ac:dyDescent="0.3">
      <c r="A461" s="2">
        <v>45021</v>
      </c>
      <c r="B461" s="3" t="s">
        <v>7</v>
      </c>
      <c r="C461" s="3" t="s">
        <v>14</v>
      </c>
      <c r="D461" s="3" t="s">
        <v>18</v>
      </c>
      <c r="E461" s="3" t="s">
        <v>21</v>
      </c>
      <c r="F461" s="3" t="s">
        <v>31</v>
      </c>
      <c r="G461" s="3">
        <v>9412.19</v>
      </c>
      <c r="H461" s="3">
        <v>8742.1200000000008</v>
      </c>
      <c r="I461" s="3" t="s">
        <v>34</v>
      </c>
      <c r="J461" s="3">
        <v>4</v>
      </c>
      <c r="K461" s="5">
        <f>actual_vs_target_sales_dataset[[#This Row],[Sales_ Amount]]/actual_vs_target_sales_dataset[[#This Row],[Sales_Target]]</f>
        <v>1.0766484559809291</v>
      </c>
    </row>
    <row r="462" spans="1:11" x14ac:dyDescent="0.3">
      <c r="A462" s="2">
        <v>45022</v>
      </c>
      <c r="B462" s="3" t="s">
        <v>23</v>
      </c>
      <c r="C462" s="3" t="s">
        <v>14</v>
      </c>
      <c r="D462" s="3" t="s">
        <v>15</v>
      </c>
      <c r="E462" s="3" t="s">
        <v>10</v>
      </c>
      <c r="F462" s="3" t="s">
        <v>30</v>
      </c>
      <c r="G462" s="3">
        <v>9412.5300000000007</v>
      </c>
      <c r="H462" s="3">
        <v>9390.66</v>
      </c>
      <c r="I462" s="3" t="s">
        <v>34</v>
      </c>
      <c r="J462" s="3">
        <v>4</v>
      </c>
      <c r="K462" s="5">
        <f>actual_vs_target_sales_dataset[[#This Row],[Sales_ Amount]]/actual_vs_target_sales_dataset[[#This Row],[Sales_Target]]</f>
        <v>1.0023289097890884</v>
      </c>
    </row>
    <row r="463" spans="1:11" x14ac:dyDescent="0.3">
      <c r="A463" s="2">
        <v>45023</v>
      </c>
      <c r="B463" s="3" t="s">
        <v>17</v>
      </c>
      <c r="C463" s="3" t="s">
        <v>22</v>
      </c>
      <c r="D463" s="3" t="s">
        <v>24</v>
      </c>
      <c r="E463" s="3" t="s">
        <v>10</v>
      </c>
      <c r="F463" s="3" t="s">
        <v>31</v>
      </c>
      <c r="G463" s="3">
        <v>16383.61</v>
      </c>
      <c r="H463" s="3">
        <v>16285.8</v>
      </c>
      <c r="I463" s="3" t="s">
        <v>34</v>
      </c>
      <c r="J463" s="3">
        <v>4</v>
      </c>
      <c r="K463" s="5">
        <f>actual_vs_target_sales_dataset[[#This Row],[Sales_ Amount]]/actual_vs_target_sales_dataset[[#This Row],[Sales_Target]]</f>
        <v>1.006005845583269</v>
      </c>
    </row>
    <row r="464" spans="1:11" x14ac:dyDescent="0.3">
      <c r="A464" s="2">
        <v>45024</v>
      </c>
      <c r="B464" s="3" t="s">
        <v>23</v>
      </c>
      <c r="C464" s="3" t="s">
        <v>14</v>
      </c>
      <c r="D464" s="3" t="s">
        <v>18</v>
      </c>
      <c r="E464" s="3" t="s">
        <v>19</v>
      </c>
      <c r="F464" s="3" t="s">
        <v>29</v>
      </c>
      <c r="G464" s="3">
        <v>5188.8900000000003</v>
      </c>
      <c r="H464" s="3">
        <v>5326.01</v>
      </c>
      <c r="I464" s="3" t="s">
        <v>34</v>
      </c>
      <c r="J464" s="3">
        <v>4</v>
      </c>
      <c r="K464" s="5">
        <f>actual_vs_target_sales_dataset[[#This Row],[Sales_ Amount]]/actual_vs_target_sales_dataset[[#This Row],[Sales_Target]]</f>
        <v>0.97425464841410359</v>
      </c>
    </row>
    <row r="465" spans="1:11" x14ac:dyDescent="0.3">
      <c r="A465" s="2">
        <v>45025</v>
      </c>
      <c r="B465" s="3" t="s">
        <v>7</v>
      </c>
      <c r="C465" s="3" t="s">
        <v>8</v>
      </c>
      <c r="D465" s="3" t="s">
        <v>18</v>
      </c>
      <c r="E465" s="3" t="s">
        <v>10</v>
      </c>
      <c r="F465" s="3" t="s">
        <v>31</v>
      </c>
      <c r="G465" s="3">
        <v>1353.41</v>
      </c>
      <c r="H465" s="3">
        <v>1227.49</v>
      </c>
      <c r="I465" s="3" t="s">
        <v>34</v>
      </c>
      <c r="J465" s="3">
        <v>4</v>
      </c>
      <c r="K465" s="5">
        <f>actual_vs_target_sales_dataset[[#This Row],[Sales_ Amount]]/actual_vs_target_sales_dataset[[#This Row],[Sales_Target]]</f>
        <v>1.1025833204343825</v>
      </c>
    </row>
    <row r="466" spans="1:11" x14ac:dyDescent="0.3">
      <c r="A466" s="2">
        <v>45026</v>
      </c>
      <c r="B466" s="3" t="s">
        <v>13</v>
      </c>
      <c r="C466" s="3" t="s">
        <v>14</v>
      </c>
      <c r="D466" s="3" t="s">
        <v>18</v>
      </c>
      <c r="E466" s="3" t="s">
        <v>21</v>
      </c>
      <c r="F466" s="3" t="s">
        <v>31</v>
      </c>
      <c r="G466" s="3">
        <v>-2205.2399999999998</v>
      </c>
      <c r="H466" s="3">
        <v>-2550.71</v>
      </c>
      <c r="I466" s="3" t="s">
        <v>34</v>
      </c>
      <c r="J466" s="3">
        <v>4</v>
      </c>
      <c r="K466" s="5">
        <f>actual_vs_target_sales_dataset[[#This Row],[Sales_ Amount]]/actual_vs_target_sales_dataset[[#This Row],[Sales_Target]]</f>
        <v>0.86455927957313838</v>
      </c>
    </row>
    <row r="467" spans="1:11" x14ac:dyDescent="0.3">
      <c r="A467" s="2">
        <v>45027</v>
      </c>
      <c r="B467" s="3" t="s">
        <v>17</v>
      </c>
      <c r="C467" s="3" t="s">
        <v>8</v>
      </c>
      <c r="D467" s="3" t="s">
        <v>15</v>
      </c>
      <c r="E467" s="3" t="s">
        <v>21</v>
      </c>
      <c r="F467" s="3" t="s">
        <v>31</v>
      </c>
      <c r="G467" s="3">
        <v>927.03</v>
      </c>
      <c r="H467" s="3">
        <v>948.11</v>
      </c>
      <c r="I467" s="3" t="s">
        <v>34</v>
      </c>
      <c r="J467" s="3">
        <v>4</v>
      </c>
      <c r="K467" s="5">
        <f>actual_vs_target_sales_dataset[[#This Row],[Sales_ Amount]]/actual_vs_target_sales_dataset[[#This Row],[Sales_Target]]</f>
        <v>0.97776629294069251</v>
      </c>
    </row>
    <row r="468" spans="1:11" x14ac:dyDescent="0.3">
      <c r="A468" s="2">
        <v>45028</v>
      </c>
      <c r="B468" s="3" t="s">
        <v>17</v>
      </c>
      <c r="C468" s="3" t="s">
        <v>8</v>
      </c>
      <c r="D468" s="3" t="s">
        <v>18</v>
      </c>
      <c r="E468" s="3" t="s">
        <v>19</v>
      </c>
      <c r="F468" s="3" t="s">
        <v>11</v>
      </c>
      <c r="G468" s="3">
        <v>4365.6499999999996</v>
      </c>
      <c r="H468" s="3">
        <v>4764.5200000000004</v>
      </c>
      <c r="I468" s="3" t="s">
        <v>34</v>
      </c>
      <c r="J468" s="3">
        <v>4</v>
      </c>
      <c r="K468" s="5">
        <f>actual_vs_target_sales_dataset[[#This Row],[Sales_ Amount]]/actual_vs_target_sales_dataset[[#This Row],[Sales_Target]]</f>
        <v>0.91628327722414837</v>
      </c>
    </row>
    <row r="469" spans="1:11" x14ac:dyDescent="0.3">
      <c r="A469" s="2">
        <v>45029</v>
      </c>
      <c r="B469" s="3" t="s">
        <v>7</v>
      </c>
      <c r="C469" s="3" t="s">
        <v>14</v>
      </c>
      <c r="D469" s="3" t="s">
        <v>18</v>
      </c>
      <c r="E469" s="3" t="s">
        <v>10</v>
      </c>
      <c r="F469" s="3" t="s">
        <v>29</v>
      </c>
      <c r="G469" s="3">
        <v>506.58</v>
      </c>
      <c r="H469" s="3">
        <v>520.02</v>
      </c>
      <c r="I469" s="3" t="s">
        <v>34</v>
      </c>
      <c r="J469" s="3">
        <v>4</v>
      </c>
      <c r="K469" s="5">
        <f>actual_vs_target_sales_dataset[[#This Row],[Sales_ Amount]]/actual_vs_target_sales_dataset[[#This Row],[Sales_Target]]</f>
        <v>0.97415484019845389</v>
      </c>
    </row>
    <row r="470" spans="1:11" x14ac:dyDescent="0.3">
      <c r="A470" s="2">
        <v>45030</v>
      </c>
      <c r="B470" s="3" t="s">
        <v>7</v>
      </c>
      <c r="C470" s="3" t="s">
        <v>25</v>
      </c>
      <c r="D470" s="3" t="s">
        <v>24</v>
      </c>
      <c r="E470" s="3" t="s">
        <v>21</v>
      </c>
      <c r="F470" s="3" t="s">
        <v>11</v>
      </c>
      <c r="G470" s="3">
        <v>10003.26</v>
      </c>
      <c r="H470" s="3">
        <v>10686.44</v>
      </c>
      <c r="I470" s="3" t="s">
        <v>34</v>
      </c>
      <c r="J470" s="3">
        <v>4</v>
      </c>
      <c r="K470" s="5">
        <f>actual_vs_target_sales_dataset[[#This Row],[Sales_ Amount]]/actual_vs_target_sales_dataset[[#This Row],[Sales_Target]]</f>
        <v>0.93607038452468738</v>
      </c>
    </row>
    <row r="471" spans="1:11" x14ac:dyDescent="0.3">
      <c r="A471" s="2">
        <v>45031</v>
      </c>
      <c r="B471" s="3" t="s">
        <v>17</v>
      </c>
      <c r="C471" s="3" t="s">
        <v>8</v>
      </c>
      <c r="D471" s="3" t="s">
        <v>15</v>
      </c>
      <c r="E471" s="3" t="s">
        <v>10</v>
      </c>
      <c r="F471" s="3" t="s">
        <v>11</v>
      </c>
      <c r="G471" s="3">
        <v>2546.9</v>
      </c>
      <c r="H471" s="3">
        <v>2290.48</v>
      </c>
      <c r="I471" s="3" t="s">
        <v>34</v>
      </c>
      <c r="J471" s="3">
        <v>4</v>
      </c>
      <c r="K471" s="5">
        <f>actual_vs_target_sales_dataset[[#This Row],[Sales_ Amount]]/actual_vs_target_sales_dataset[[#This Row],[Sales_Target]]</f>
        <v>1.1119503335545389</v>
      </c>
    </row>
    <row r="472" spans="1:11" x14ac:dyDescent="0.3">
      <c r="A472" s="2">
        <v>45032</v>
      </c>
      <c r="B472" s="3" t="s">
        <v>23</v>
      </c>
      <c r="C472" s="3" t="s">
        <v>22</v>
      </c>
      <c r="D472" s="3" t="s">
        <v>9</v>
      </c>
      <c r="E472" s="3" t="s">
        <v>10</v>
      </c>
      <c r="F472" s="3" t="s">
        <v>29</v>
      </c>
      <c r="G472" s="3">
        <v>8086.01</v>
      </c>
      <c r="H472" s="3">
        <v>8960.5499999999993</v>
      </c>
      <c r="I472" s="3" t="s">
        <v>34</v>
      </c>
      <c r="J472" s="3">
        <v>4</v>
      </c>
      <c r="K472" s="5">
        <f>actual_vs_target_sales_dataset[[#This Row],[Sales_ Amount]]/actual_vs_target_sales_dataset[[#This Row],[Sales_Target]]</f>
        <v>0.90240108029083044</v>
      </c>
    </row>
    <row r="473" spans="1:11" x14ac:dyDescent="0.3">
      <c r="A473" s="2">
        <v>45033</v>
      </c>
      <c r="B473" s="3" t="s">
        <v>7</v>
      </c>
      <c r="C473" s="3" t="s">
        <v>14</v>
      </c>
      <c r="D473" s="3" t="s">
        <v>18</v>
      </c>
      <c r="E473" s="3" t="s">
        <v>10</v>
      </c>
      <c r="F473" s="3" t="s">
        <v>11</v>
      </c>
      <c r="G473" s="3">
        <v>10339.49</v>
      </c>
      <c r="H473" s="3">
        <v>11095.37</v>
      </c>
      <c r="I473" s="3" t="s">
        <v>34</v>
      </c>
      <c r="J473" s="3">
        <v>4</v>
      </c>
      <c r="K473" s="5">
        <f>actual_vs_target_sales_dataset[[#This Row],[Sales_ Amount]]/actual_vs_target_sales_dataset[[#This Row],[Sales_Target]]</f>
        <v>0.93187428630140312</v>
      </c>
    </row>
    <row r="474" spans="1:11" x14ac:dyDescent="0.3">
      <c r="A474" s="2">
        <v>45034</v>
      </c>
      <c r="B474" s="3" t="s">
        <v>20</v>
      </c>
      <c r="C474" s="3" t="s">
        <v>8</v>
      </c>
      <c r="D474" s="3" t="s">
        <v>24</v>
      </c>
      <c r="E474" s="3" t="s">
        <v>10</v>
      </c>
      <c r="F474" s="3" t="s">
        <v>28</v>
      </c>
      <c r="G474" s="3">
        <v>6396.08</v>
      </c>
      <c r="H474" s="3">
        <v>7083.26</v>
      </c>
      <c r="I474" s="3" t="s">
        <v>34</v>
      </c>
      <c r="J474" s="3">
        <v>4</v>
      </c>
      <c r="K474" s="5">
        <f>actual_vs_target_sales_dataset[[#This Row],[Sales_ Amount]]/actual_vs_target_sales_dataset[[#This Row],[Sales_Target]]</f>
        <v>0.90298534855419677</v>
      </c>
    </row>
    <row r="475" spans="1:11" x14ac:dyDescent="0.3">
      <c r="A475" s="2">
        <v>45035</v>
      </c>
      <c r="B475" s="3" t="s">
        <v>23</v>
      </c>
      <c r="C475" s="3" t="s">
        <v>25</v>
      </c>
      <c r="D475" s="3" t="s">
        <v>15</v>
      </c>
      <c r="E475" s="3" t="s">
        <v>10</v>
      </c>
      <c r="F475" s="3" t="s">
        <v>16</v>
      </c>
      <c r="G475" s="3">
        <v>12745.43</v>
      </c>
      <c r="H475" s="3">
        <v>13212.11</v>
      </c>
      <c r="I475" s="3" t="s">
        <v>34</v>
      </c>
      <c r="J475" s="3">
        <v>4</v>
      </c>
      <c r="K475" s="5">
        <f>actual_vs_target_sales_dataset[[#This Row],[Sales_ Amount]]/actual_vs_target_sales_dataset[[#This Row],[Sales_Target]]</f>
        <v>0.96467785993304622</v>
      </c>
    </row>
    <row r="476" spans="1:11" x14ac:dyDescent="0.3">
      <c r="A476" s="2">
        <v>45036</v>
      </c>
      <c r="B476" s="3" t="s">
        <v>7</v>
      </c>
      <c r="C476" s="3" t="s">
        <v>14</v>
      </c>
      <c r="D476" s="3" t="s">
        <v>18</v>
      </c>
      <c r="E476" s="3" t="s">
        <v>21</v>
      </c>
      <c r="F476" s="3" t="s">
        <v>11</v>
      </c>
      <c r="G476" s="3">
        <v>13229.76</v>
      </c>
      <c r="H476" s="3">
        <v>13985.33</v>
      </c>
      <c r="I476" s="3" t="s">
        <v>34</v>
      </c>
      <c r="J476" s="3">
        <v>4</v>
      </c>
      <c r="K476" s="5">
        <f>actual_vs_target_sales_dataset[[#This Row],[Sales_ Amount]]/actual_vs_target_sales_dataset[[#This Row],[Sales_Target]]</f>
        <v>0.94597410286350059</v>
      </c>
    </row>
    <row r="477" spans="1:11" x14ac:dyDescent="0.3">
      <c r="A477" s="2">
        <v>45037</v>
      </c>
      <c r="B477" s="3" t="s">
        <v>17</v>
      </c>
      <c r="C477" s="3" t="s">
        <v>22</v>
      </c>
      <c r="D477" s="3" t="s">
        <v>18</v>
      </c>
      <c r="E477" s="3" t="s">
        <v>10</v>
      </c>
      <c r="F477" s="3" t="s">
        <v>29</v>
      </c>
      <c r="G477" s="3">
        <v>-1635.83</v>
      </c>
      <c r="H477" s="3">
        <v>-1490.68</v>
      </c>
      <c r="I477" s="3" t="s">
        <v>34</v>
      </c>
      <c r="J477" s="3">
        <v>4</v>
      </c>
      <c r="K477" s="5">
        <f>actual_vs_target_sales_dataset[[#This Row],[Sales_ Amount]]/actual_vs_target_sales_dataset[[#This Row],[Sales_Target]]</f>
        <v>1.0973716693052833</v>
      </c>
    </row>
    <row r="478" spans="1:11" x14ac:dyDescent="0.3">
      <c r="A478" s="2">
        <v>45038</v>
      </c>
      <c r="B478" s="3" t="s">
        <v>7</v>
      </c>
      <c r="C478" s="3" t="s">
        <v>22</v>
      </c>
      <c r="D478" s="3" t="s">
        <v>24</v>
      </c>
      <c r="E478" s="3" t="s">
        <v>21</v>
      </c>
      <c r="F478" s="3" t="s">
        <v>27</v>
      </c>
      <c r="G478" s="3">
        <v>24684.959999999999</v>
      </c>
      <c r="H478" s="3">
        <v>25302.11</v>
      </c>
      <c r="I478" s="3" t="s">
        <v>34</v>
      </c>
      <c r="J478" s="3">
        <v>4</v>
      </c>
      <c r="K478" s="5">
        <f>actual_vs_target_sales_dataset[[#This Row],[Sales_ Amount]]/actual_vs_target_sales_dataset[[#This Row],[Sales_Target]]</f>
        <v>0.97560875357825882</v>
      </c>
    </row>
    <row r="479" spans="1:11" x14ac:dyDescent="0.3">
      <c r="A479" s="2">
        <v>45039</v>
      </c>
      <c r="B479" s="3" t="s">
        <v>23</v>
      </c>
      <c r="C479" s="3" t="s">
        <v>8</v>
      </c>
      <c r="D479" s="3" t="s">
        <v>18</v>
      </c>
      <c r="E479" s="3" t="s">
        <v>19</v>
      </c>
      <c r="F479" s="3" t="s">
        <v>16</v>
      </c>
      <c r="G479" s="3">
        <v>9213.7199999999993</v>
      </c>
      <c r="H479" s="3">
        <v>10031.44</v>
      </c>
      <c r="I479" s="3" t="s">
        <v>34</v>
      </c>
      <c r="J479" s="3">
        <v>4</v>
      </c>
      <c r="K479" s="5">
        <f>actual_vs_target_sales_dataset[[#This Row],[Sales_ Amount]]/actual_vs_target_sales_dataset[[#This Row],[Sales_Target]]</f>
        <v>0.91848428540668126</v>
      </c>
    </row>
    <row r="480" spans="1:11" x14ac:dyDescent="0.3">
      <c r="A480" s="2">
        <v>45040</v>
      </c>
      <c r="B480" s="3" t="s">
        <v>20</v>
      </c>
      <c r="C480" s="3" t="s">
        <v>25</v>
      </c>
      <c r="D480" s="3" t="s">
        <v>15</v>
      </c>
      <c r="E480" s="3" t="s">
        <v>10</v>
      </c>
      <c r="F480" s="3" t="s">
        <v>11</v>
      </c>
      <c r="G480" s="3">
        <v>22826.23</v>
      </c>
      <c r="H480" s="3">
        <v>19217.46</v>
      </c>
      <c r="I480" s="3" t="s">
        <v>34</v>
      </c>
      <c r="J480" s="3">
        <v>4</v>
      </c>
      <c r="K480" s="5">
        <f>actual_vs_target_sales_dataset[[#This Row],[Sales_ Amount]]/actual_vs_target_sales_dataset[[#This Row],[Sales_Target]]</f>
        <v>1.1877860029369125</v>
      </c>
    </row>
    <row r="481" spans="1:11" x14ac:dyDescent="0.3">
      <c r="A481" s="2">
        <v>45041</v>
      </c>
      <c r="B481" s="3" t="s">
        <v>17</v>
      </c>
      <c r="C481" s="3" t="s">
        <v>25</v>
      </c>
      <c r="D481" s="3" t="s">
        <v>24</v>
      </c>
      <c r="E481" s="3" t="s">
        <v>21</v>
      </c>
      <c r="F481" s="3" t="s">
        <v>27</v>
      </c>
      <c r="G481" s="3">
        <v>10208.370000000001</v>
      </c>
      <c r="H481" s="3">
        <v>10796.14</v>
      </c>
      <c r="I481" s="3" t="s">
        <v>34</v>
      </c>
      <c r="J481" s="3">
        <v>4</v>
      </c>
      <c r="K481" s="5">
        <f>actual_vs_target_sales_dataset[[#This Row],[Sales_ Amount]]/actual_vs_target_sales_dataset[[#This Row],[Sales_Target]]</f>
        <v>0.94555739366106784</v>
      </c>
    </row>
    <row r="482" spans="1:11" x14ac:dyDescent="0.3">
      <c r="A482" s="2">
        <v>45042</v>
      </c>
      <c r="B482" s="3" t="s">
        <v>7</v>
      </c>
      <c r="C482" s="3" t="s">
        <v>22</v>
      </c>
      <c r="D482" s="3" t="s">
        <v>24</v>
      </c>
      <c r="E482" s="3" t="s">
        <v>19</v>
      </c>
      <c r="F482" s="3" t="s">
        <v>26</v>
      </c>
      <c r="G482" s="3">
        <v>17737.240000000002</v>
      </c>
      <c r="H482" s="3">
        <v>16652.740000000002</v>
      </c>
      <c r="I482" s="3" t="s">
        <v>34</v>
      </c>
      <c r="J482" s="3">
        <v>4</v>
      </c>
      <c r="K482" s="5">
        <f>actual_vs_target_sales_dataset[[#This Row],[Sales_ Amount]]/actual_vs_target_sales_dataset[[#This Row],[Sales_Target]]</f>
        <v>1.0651244179636503</v>
      </c>
    </row>
    <row r="483" spans="1:11" x14ac:dyDescent="0.3">
      <c r="A483" s="2">
        <v>45043</v>
      </c>
      <c r="B483" s="3" t="s">
        <v>7</v>
      </c>
      <c r="C483" s="3" t="s">
        <v>14</v>
      </c>
      <c r="D483" s="3" t="s">
        <v>15</v>
      </c>
      <c r="E483" s="3" t="s">
        <v>21</v>
      </c>
      <c r="F483" s="3" t="s">
        <v>11</v>
      </c>
      <c r="G483" s="3">
        <v>6877.16</v>
      </c>
      <c r="H483" s="3">
        <v>7242.22</v>
      </c>
      <c r="I483" s="3" t="s">
        <v>34</v>
      </c>
      <c r="J483" s="3">
        <v>4</v>
      </c>
      <c r="K483" s="5">
        <f>actual_vs_target_sales_dataset[[#This Row],[Sales_ Amount]]/actual_vs_target_sales_dataset[[#This Row],[Sales_Target]]</f>
        <v>0.94959280441632532</v>
      </c>
    </row>
    <row r="484" spans="1:11" x14ac:dyDescent="0.3">
      <c r="A484" s="2">
        <v>45044</v>
      </c>
      <c r="B484" s="3" t="s">
        <v>7</v>
      </c>
      <c r="C484" s="3" t="s">
        <v>22</v>
      </c>
      <c r="D484" s="3" t="s">
        <v>15</v>
      </c>
      <c r="E484" s="3" t="s">
        <v>10</v>
      </c>
      <c r="F484" s="3" t="s">
        <v>16</v>
      </c>
      <c r="G484" s="3">
        <v>16838.55</v>
      </c>
      <c r="H484" s="3">
        <v>17571.34</v>
      </c>
      <c r="I484" s="3" t="s">
        <v>34</v>
      </c>
      <c r="J484" s="3">
        <v>4</v>
      </c>
      <c r="K484" s="5">
        <f>actual_vs_target_sales_dataset[[#This Row],[Sales_ Amount]]/actual_vs_target_sales_dataset[[#This Row],[Sales_Target]]</f>
        <v>0.95829629385123727</v>
      </c>
    </row>
    <row r="485" spans="1:11" x14ac:dyDescent="0.3">
      <c r="A485" s="2">
        <v>45045</v>
      </c>
      <c r="B485" s="3" t="s">
        <v>7</v>
      </c>
      <c r="C485" s="3" t="s">
        <v>14</v>
      </c>
      <c r="D485" s="3" t="s">
        <v>24</v>
      </c>
      <c r="E485" s="3" t="s">
        <v>21</v>
      </c>
      <c r="F485" s="3" t="s">
        <v>16</v>
      </c>
      <c r="G485" s="3">
        <v>2105.5</v>
      </c>
      <c r="H485" s="3">
        <v>2423.2199999999998</v>
      </c>
      <c r="I485" s="3" t="s">
        <v>34</v>
      </c>
      <c r="J485" s="3">
        <v>4</v>
      </c>
      <c r="K485" s="5">
        <f>actual_vs_target_sales_dataset[[#This Row],[Sales_ Amount]]/actual_vs_target_sales_dataset[[#This Row],[Sales_Target]]</f>
        <v>0.86888520233408451</v>
      </c>
    </row>
    <row r="486" spans="1:11" x14ac:dyDescent="0.3">
      <c r="A486" s="2">
        <v>45046</v>
      </c>
      <c r="B486" s="3" t="s">
        <v>23</v>
      </c>
      <c r="C486" s="3" t="s">
        <v>14</v>
      </c>
      <c r="D486" s="3" t="s">
        <v>15</v>
      </c>
      <c r="E486" s="3" t="s">
        <v>19</v>
      </c>
      <c r="F486" s="3" t="s">
        <v>11</v>
      </c>
      <c r="G486" s="3">
        <v>4931.74</v>
      </c>
      <c r="H486" s="3">
        <v>5522.59</v>
      </c>
      <c r="I486" s="3" t="s">
        <v>34</v>
      </c>
      <c r="J486" s="3">
        <v>4</v>
      </c>
      <c r="K486" s="5">
        <f>actual_vs_target_sales_dataset[[#This Row],[Sales_ Amount]]/actual_vs_target_sales_dataset[[#This Row],[Sales_Target]]</f>
        <v>0.89301215552847479</v>
      </c>
    </row>
    <row r="487" spans="1:11" x14ac:dyDescent="0.3">
      <c r="A487" s="2">
        <v>45047</v>
      </c>
      <c r="B487" s="3" t="s">
        <v>17</v>
      </c>
      <c r="C487" s="3" t="s">
        <v>14</v>
      </c>
      <c r="D487" s="3" t="s">
        <v>18</v>
      </c>
      <c r="E487" s="3" t="s">
        <v>21</v>
      </c>
      <c r="F487" s="3" t="s">
        <v>30</v>
      </c>
      <c r="G487" s="3">
        <v>-7898.78</v>
      </c>
      <c r="H487" s="3">
        <v>-7784.98</v>
      </c>
      <c r="I487" s="3" t="s">
        <v>35</v>
      </c>
      <c r="J487" s="3">
        <v>5</v>
      </c>
      <c r="K487" s="5">
        <f>actual_vs_target_sales_dataset[[#This Row],[Sales_ Amount]]/actual_vs_target_sales_dataset[[#This Row],[Sales_Target]]</f>
        <v>1.0146178924030633</v>
      </c>
    </row>
    <row r="488" spans="1:11" x14ac:dyDescent="0.3">
      <c r="A488" s="2">
        <v>45048</v>
      </c>
      <c r="B488" s="3" t="s">
        <v>7</v>
      </c>
      <c r="C488" s="3" t="s">
        <v>22</v>
      </c>
      <c r="D488" s="3" t="s">
        <v>9</v>
      </c>
      <c r="E488" s="3" t="s">
        <v>19</v>
      </c>
      <c r="F488" s="3" t="s">
        <v>28</v>
      </c>
      <c r="G488" s="3">
        <v>6952.25</v>
      </c>
      <c r="H488" s="3">
        <v>7354.76</v>
      </c>
      <c r="I488" s="3" t="s">
        <v>35</v>
      </c>
      <c r="J488" s="3">
        <v>5</v>
      </c>
      <c r="K488" s="5">
        <f>actual_vs_target_sales_dataset[[#This Row],[Sales_ Amount]]/actual_vs_target_sales_dataset[[#This Row],[Sales_Target]]</f>
        <v>0.94527217747417991</v>
      </c>
    </row>
    <row r="489" spans="1:11" x14ac:dyDescent="0.3">
      <c r="A489" s="2">
        <v>45049</v>
      </c>
      <c r="B489" s="3" t="s">
        <v>7</v>
      </c>
      <c r="C489" s="3" t="s">
        <v>8</v>
      </c>
      <c r="D489" s="3" t="s">
        <v>24</v>
      </c>
      <c r="E489" s="3" t="s">
        <v>19</v>
      </c>
      <c r="F489" s="3" t="s">
        <v>30</v>
      </c>
      <c r="G489" s="3">
        <v>2194.15</v>
      </c>
      <c r="H489" s="3">
        <v>2181.62</v>
      </c>
      <c r="I489" s="3" t="s">
        <v>35</v>
      </c>
      <c r="J489" s="3">
        <v>5</v>
      </c>
      <c r="K489" s="5">
        <f>actual_vs_target_sales_dataset[[#This Row],[Sales_ Amount]]/actual_vs_target_sales_dataset[[#This Row],[Sales_Target]]</f>
        <v>1.0057434383623181</v>
      </c>
    </row>
    <row r="490" spans="1:11" x14ac:dyDescent="0.3">
      <c r="A490" s="2">
        <v>45050</v>
      </c>
      <c r="B490" s="3" t="s">
        <v>13</v>
      </c>
      <c r="C490" s="3" t="s">
        <v>14</v>
      </c>
      <c r="D490" s="3" t="s">
        <v>15</v>
      </c>
      <c r="E490" s="3" t="s">
        <v>19</v>
      </c>
      <c r="F490" s="3" t="s">
        <v>27</v>
      </c>
      <c r="G490" s="3">
        <v>17049.21</v>
      </c>
      <c r="H490" s="3">
        <v>17561.97</v>
      </c>
      <c r="I490" s="3" t="s">
        <v>35</v>
      </c>
      <c r="J490" s="3">
        <v>5</v>
      </c>
      <c r="K490" s="5">
        <f>actual_vs_target_sales_dataset[[#This Row],[Sales_ Amount]]/actual_vs_target_sales_dataset[[#This Row],[Sales_Target]]</f>
        <v>0.97080281995698647</v>
      </c>
    </row>
    <row r="491" spans="1:11" x14ac:dyDescent="0.3">
      <c r="A491" s="2">
        <v>45051</v>
      </c>
      <c r="B491" s="3" t="s">
        <v>23</v>
      </c>
      <c r="C491" s="3" t="s">
        <v>22</v>
      </c>
      <c r="D491" s="3" t="s">
        <v>18</v>
      </c>
      <c r="E491" s="3" t="s">
        <v>19</v>
      </c>
      <c r="F491" s="3" t="s">
        <v>31</v>
      </c>
      <c r="G491" s="3">
        <v>10781.02</v>
      </c>
      <c r="H491" s="3">
        <v>10696.75</v>
      </c>
      <c r="I491" s="3" t="s">
        <v>35</v>
      </c>
      <c r="J491" s="3">
        <v>5</v>
      </c>
      <c r="K491" s="5">
        <f>actual_vs_target_sales_dataset[[#This Row],[Sales_ Amount]]/actual_vs_target_sales_dataset[[#This Row],[Sales_Target]]</f>
        <v>1.0078780938135414</v>
      </c>
    </row>
    <row r="492" spans="1:11" x14ac:dyDescent="0.3">
      <c r="A492" s="2">
        <v>45052</v>
      </c>
      <c r="B492" s="3" t="s">
        <v>23</v>
      </c>
      <c r="C492" s="3" t="s">
        <v>25</v>
      </c>
      <c r="D492" s="3" t="s">
        <v>9</v>
      </c>
      <c r="E492" s="3" t="s">
        <v>21</v>
      </c>
      <c r="F492" s="3" t="s">
        <v>11</v>
      </c>
      <c r="G492" s="3">
        <v>3893.39</v>
      </c>
      <c r="H492" s="3">
        <v>4169.33</v>
      </c>
      <c r="I492" s="3" t="s">
        <v>35</v>
      </c>
      <c r="J492" s="3">
        <v>5</v>
      </c>
      <c r="K492" s="5">
        <f>actual_vs_target_sales_dataset[[#This Row],[Sales_ Amount]]/actual_vs_target_sales_dataset[[#This Row],[Sales_Target]]</f>
        <v>0.93381670436257147</v>
      </c>
    </row>
    <row r="493" spans="1:11" x14ac:dyDescent="0.3">
      <c r="A493" s="2">
        <v>45053</v>
      </c>
      <c r="B493" s="3" t="s">
        <v>17</v>
      </c>
      <c r="C493" s="3" t="s">
        <v>25</v>
      </c>
      <c r="D493" s="3" t="s">
        <v>9</v>
      </c>
      <c r="E493" s="3" t="s">
        <v>10</v>
      </c>
      <c r="F493" s="3" t="s">
        <v>26</v>
      </c>
      <c r="G493" s="3">
        <v>-271.52999999999997</v>
      </c>
      <c r="H493" s="3">
        <v>-263.89999999999998</v>
      </c>
      <c r="I493" s="3" t="s">
        <v>35</v>
      </c>
      <c r="J493" s="3">
        <v>5</v>
      </c>
      <c r="K493" s="5">
        <f>actual_vs_target_sales_dataset[[#This Row],[Sales_ Amount]]/actual_vs_target_sales_dataset[[#This Row],[Sales_Target]]</f>
        <v>1.0289124668435012</v>
      </c>
    </row>
    <row r="494" spans="1:11" x14ac:dyDescent="0.3">
      <c r="A494" s="2">
        <v>45054</v>
      </c>
      <c r="B494" s="3" t="s">
        <v>7</v>
      </c>
      <c r="C494" s="3" t="s">
        <v>22</v>
      </c>
      <c r="D494" s="3" t="s">
        <v>18</v>
      </c>
      <c r="E494" s="3" t="s">
        <v>10</v>
      </c>
      <c r="F494" s="3" t="s">
        <v>16</v>
      </c>
      <c r="G494" s="3">
        <v>224.4</v>
      </c>
      <c r="H494" s="3">
        <v>220.94</v>
      </c>
      <c r="I494" s="3" t="s">
        <v>35</v>
      </c>
      <c r="J494" s="3">
        <v>5</v>
      </c>
      <c r="K494" s="5">
        <f>actual_vs_target_sales_dataset[[#This Row],[Sales_ Amount]]/actual_vs_target_sales_dataset[[#This Row],[Sales_Target]]</f>
        <v>1.0156603602788088</v>
      </c>
    </row>
    <row r="495" spans="1:11" x14ac:dyDescent="0.3">
      <c r="A495" s="2">
        <v>45055</v>
      </c>
      <c r="B495" s="3" t="s">
        <v>23</v>
      </c>
      <c r="C495" s="3" t="s">
        <v>14</v>
      </c>
      <c r="D495" s="3" t="s">
        <v>9</v>
      </c>
      <c r="E495" s="3" t="s">
        <v>19</v>
      </c>
      <c r="F495" s="3" t="s">
        <v>30</v>
      </c>
      <c r="G495" s="3">
        <v>429.83</v>
      </c>
      <c r="H495" s="3">
        <v>425.17</v>
      </c>
      <c r="I495" s="3" t="s">
        <v>35</v>
      </c>
      <c r="J495" s="3">
        <v>5</v>
      </c>
      <c r="K495" s="5">
        <f>actual_vs_target_sales_dataset[[#This Row],[Sales_ Amount]]/actual_vs_target_sales_dataset[[#This Row],[Sales_Target]]</f>
        <v>1.0109603217536514</v>
      </c>
    </row>
    <row r="496" spans="1:11" x14ac:dyDescent="0.3">
      <c r="A496" s="2">
        <v>45056</v>
      </c>
      <c r="B496" s="3" t="s">
        <v>23</v>
      </c>
      <c r="C496" s="3" t="s">
        <v>14</v>
      </c>
      <c r="D496" s="3" t="s">
        <v>24</v>
      </c>
      <c r="E496" s="3" t="s">
        <v>19</v>
      </c>
      <c r="F496" s="3" t="s">
        <v>29</v>
      </c>
      <c r="G496" s="3">
        <v>7601.99</v>
      </c>
      <c r="H496" s="3">
        <v>8033.12</v>
      </c>
      <c r="I496" s="3" t="s">
        <v>35</v>
      </c>
      <c r="J496" s="3">
        <v>5</v>
      </c>
      <c r="K496" s="5">
        <f>actual_vs_target_sales_dataset[[#This Row],[Sales_ Amount]]/actual_vs_target_sales_dataset[[#This Row],[Sales_Target]]</f>
        <v>0.94633093990877759</v>
      </c>
    </row>
    <row r="497" spans="1:11" x14ac:dyDescent="0.3">
      <c r="A497" s="2">
        <v>45057</v>
      </c>
      <c r="B497" s="3" t="s">
        <v>20</v>
      </c>
      <c r="C497" s="3" t="s">
        <v>22</v>
      </c>
      <c r="D497" s="3" t="s">
        <v>9</v>
      </c>
      <c r="E497" s="3" t="s">
        <v>19</v>
      </c>
      <c r="F497" s="3" t="s">
        <v>16</v>
      </c>
      <c r="G497" s="3">
        <v>16805.55</v>
      </c>
      <c r="H497" s="3">
        <v>17562.23</v>
      </c>
      <c r="I497" s="3" t="s">
        <v>35</v>
      </c>
      <c r="J497" s="3">
        <v>5</v>
      </c>
      <c r="K497" s="5">
        <f>actual_vs_target_sales_dataset[[#This Row],[Sales_ Amount]]/actual_vs_target_sales_dataset[[#This Row],[Sales_Target]]</f>
        <v>0.95691435540930736</v>
      </c>
    </row>
    <row r="498" spans="1:11" x14ac:dyDescent="0.3">
      <c r="A498" s="2">
        <v>45058</v>
      </c>
      <c r="B498" s="3" t="s">
        <v>20</v>
      </c>
      <c r="C498" s="3" t="s">
        <v>22</v>
      </c>
      <c r="D498" s="3" t="s">
        <v>24</v>
      </c>
      <c r="E498" s="3" t="s">
        <v>10</v>
      </c>
      <c r="F498" s="3" t="s">
        <v>30</v>
      </c>
      <c r="G498" s="3">
        <v>11220.44</v>
      </c>
      <c r="H498" s="3">
        <v>10907.03</v>
      </c>
      <c r="I498" s="3" t="s">
        <v>35</v>
      </c>
      <c r="J498" s="3">
        <v>5</v>
      </c>
      <c r="K498" s="5">
        <f>actual_vs_target_sales_dataset[[#This Row],[Sales_ Amount]]/actual_vs_target_sales_dataset[[#This Row],[Sales_Target]]</f>
        <v>1.0287346784596723</v>
      </c>
    </row>
    <row r="499" spans="1:11" x14ac:dyDescent="0.3">
      <c r="A499" s="2">
        <v>45059</v>
      </c>
      <c r="B499" s="3" t="s">
        <v>20</v>
      </c>
      <c r="C499" s="3" t="s">
        <v>22</v>
      </c>
      <c r="D499" s="3" t="s">
        <v>9</v>
      </c>
      <c r="E499" s="3" t="s">
        <v>10</v>
      </c>
      <c r="F499" s="3" t="s">
        <v>27</v>
      </c>
      <c r="G499" s="3">
        <v>13791.57</v>
      </c>
      <c r="H499" s="3">
        <v>12734.4</v>
      </c>
      <c r="I499" s="3" t="s">
        <v>35</v>
      </c>
      <c r="J499" s="3">
        <v>5</v>
      </c>
      <c r="K499" s="5">
        <f>actual_vs_target_sales_dataset[[#This Row],[Sales_ Amount]]/actual_vs_target_sales_dataset[[#This Row],[Sales_Target]]</f>
        <v>1.0830168676969469</v>
      </c>
    </row>
    <row r="500" spans="1:11" x14ac:dyDescent="0.3">
      <c r="A500" s="2">
        <v>45060</v>
      </c>
      <c r="B500" s="3" t="s">
        <v>13</v>
      </c>
      <c r="C500" s="3" t="s">
        <v>8</v>
      </c>
      <c r="D500" s="3" t="s">
        <v>24</v>
      </c>
      <c r="E500" s="3" t="s">
        <v>21</v>
      </c>
      <c r="F500" s="3" t="s">
        <v>28</v>
      </c>
      <c r="G500" s="3">
        <v>6139.57</v>
      </c>
      <c r="H500" s="3">
        <v>5990.37</v>
      </c>
      <c r="I500" s="3" t="s">
        <v>35</v>
      </c>
      <c r="J500" s="3">
        <v>5</v>
      </c>
      <c r="K500" s="5">
        <f>actual_vs_target_sales_dataset[[#This Row],[Sales_ Amount]]/actual_vs_target_sales_dataset[[#This Row],[Sales_Target]]</f>
        <v>1.0249066418267987</v>
      </c>
    </row>
    <row r="501" spans="1:11" x14ac:dyDescent="0.3">
      <c r="A501" s="2">
        <v>45061</v>
      </c>
      <c r="B501" s="3" t="s">
        <v>13</v>
      </c>
      <c r="C501" s="3" t="s">
        <v>14</v>
      </c>
      <c r="D501" s="3" t="s">
        <v>24</v>
      </c>
      <c r="E501" s="3" t="s">
        <v>19</v>
      </c>
      <c r="F501" s="3" t="s">
        <v>30</v>
      </c>
      <c r="G501" s="3">
        <v>-1807.3</v>
      </c>
      <c r="H501" s="3">
        <v>-1730.37</v>
      </c>
      <c r="I501" s="3" t="s">
        <v>35</v>
      </c>
      <c r="J501" s="3">
        <v>5</v>
      </c>
      <c r="K501" s="5">
        <f>actual_vs_target_sales_dataset[[#This Row],[Sales_ Amount]]/actual_vs_target_sales_dataset[[#This Row],[Sales_Target]]</f>
        <v>1.044458699584482</v>
      </c>
    </row>
    <row r="502" spans="1:11" x14ac:dyDescent="0.3">
      <c r="A502" s="2">
        <v>45062</v>
      </c>
      <c r="B502" s="3" t="s">
        <v>7</v>
      </c>
      <c r="C502" s="3" t="s">
        <v>14</v>
      </c>
      <c r="D502" s="3" t="s">
        <v>18</v>
      </c>
      <c r="E502" s="3" t="s">
        <v>19</v>
      </c>
      <c r="F502" s="3" t="s">
        <v>16</v>
      </c>
      <c r="G502" s="3">
        <v>14351.48</v>
      </c>
      <c r="H502" s="3">
        <v>14112.57</v>
      </c>
      <c r="I502" s="3" t="s">
        <v>35</v>
      </c>
      <c r="J502" s="3">
        <v>5</v>
      </c>
      <c r="K502" s="5">
        <f>actual_vs_target_sales_dataset[[#This Row],[Sales_ Amount]]/actual_vs_target_sales_dataset[[#This Row],[Sales_Target]]</f>
        <v>1.0169288797150342</v>
      </c>
    </row>
    <row r="503" spans="1:11" x14ac:dyDescent="0.3">
      <c r="A503" s="2">
        <v>45063</v>
      </c>
      <c r="B503" s="3" t="s">
        <v>17</v>
      </c>
      <c r="C503" s="3" t="s">
        <v>22</v>
      </c>
      <c r="D503" s="3" t="s">
        <v>9</v>
      </c>
      <c r="E503" s="3" t="s">
        <v>10</v>
      </c>
      <c r="F503" s="3" t="s">
        <v>29</v>
      </c>
      <c r="G503" s="3">
        <v>14741.38</v>
      </c>
      <c r="H503" s="3">
        <v>15200.9</v>
      </c>
      <c r="I503" s="3" t="s">
        <v>35</v>
      </c>
      <c r="J503" s="3">
        <v>5</v>
      </c>
      <c r="K503" s="5">
        <f>actual_vs_target_sales_dataset[[#This Row],[Sales_ Amount]]/actual_vs_target_sales_dataset[[#This Row],[Sales_Target]]</f>
        <v>0.96977021097435012</v>
      </c>
    </row>
    <row r="504" spans="1:11" x14ac:dyDescent="0.3">
      <c r="A504" s="2">
        <v>45064</v>
      </c>
      <c r="B504" s="3" t="s">
        <v>23</v>
      </c>
      <c r="C504" s="3" t="s">
        <v>14</v>
      </c>
      <c r="D504" s="3" t="s">
        <v>18</v>
      </c>
      <c r="E504" s="3" t="s">
        <v>21</v>
      </c>
      <c r="F504" s="3" t="s">
        <v>31</v>
      </c>
      <c r="G504" s="3">
        <v>-6563.4</v>
      </c>
      <c r="H504" s="3">
        <v>-6724.76</v>
      </c>
      <c r="I504" s="3" t="s">
        <v>35</v>
      </c>
      <c r="J504" s="3">
        <v>5</v>
      </c>
      <c r="K504" s="5">
        <f>actual_vs_target_sales_dataset[[#This Row],[Sales_ Amount]]/actual_vs_target_sales_dataset[[#This Row],[Sales_Target]]</f>
        <v>0.97600509163152283</v>
      </c>
    </row>
    <row r="505" spans="1:11" x14ac:dyDescent="0.3">
      <c r="A505" s="2">
        <v>45065</v>
      </c>
      <c r="B505" s="3" t="s">
        <v>13</v>
      </c>
      <c r="C505" s="3" t="s">
        <v>8</v>
      </c>
      <c r="D505" s="3" t="s">
        <v>24</v>
      </c>
      <c r="E505" s="3" t="s">
        <v>10</v>
      </c>
      <c r="F505" s="3" t="s">
        <v>27</v>
      </c>
      <c r="G505" s="3">
        <v>-409.48</v>
      </c>
      <c r="H505" s="3">
        <v>-430.67</v>
      </c>
      <c r="I505" s="3" t="s">
        <v>35</v>
      </c>
      <c r="J505" s="3">
        <v>5</v>
      </c>
      <c r="K505" s="5">
        <f>actual_vs_target_sales_dataset[[#This Row],[Sales_ Amount]]/actual_vs_target_sales_dataset[[#This Row],[Sales_Target]]</f>
        <v>0.95079759444586343</v>
      </c>
    </row>
    <row r="506" spans="1:11" x14ac:dyDescent="0.3">
      <c r="A506" s="2">
        <v>45066</v>
      </c>
      <c r="B506" s="3" t="s">
        <v>17</v>
      </c>
      <c r="C506" s="3" t="s">
        <v>8</v>
      </c>
      <c r="D506" s="3" t="s">
        <v>18</v>
      </c>
      <c r="E506" s="3" t="s">
        <v>19</v>
      </c>
      <c r="F506" s="3" t="s">
        <v>11</v>
      </c>
      <c r="G506" s="3">
        <v>-2862.49</v>
      </c>
      <c r="H506" s="3">
        <v>-2941.37</v>
      </c>
      <c r="I506" s="3" t="s">
        <v>35</v>
      </c>
      <c r="J506" s="3">
        <v>5</v>
      </c>
      <c r="K506" s="5">
        <f>actual_vs_target_sales_dataset[[#This Row],[Sales_ Amount]]/actual_vs_target_sales_dataset[[#This Row],[Sales_Target]]</f>
        <v>0.97318256458725017</v>
      </c>
    </row>
    <row r="507" spans="1:11" x14ac:dyDescent="0.3">
      <c r="A507" s="2">
        <v>45067</v>
      </c>
      <c r="B507" s="3" t="s">
        <v>20</v>
      </c>
      <c r="C507" s="3" t="s">
        <v>22</v>
      </c>
      <c r="D507" s="3" t="s">
        <v>18</v>
      </c>
      <c r="E507" s="3" t="s">
        <v>10</v>
      </c>
      <c r="F507" s="3" t="s">
        <v>28</v>
      </c>
      <c r="G507" s="3">
        <v>16268.55</v>
      </c>
      <c r="H507" s="3">
        <v>17892.36</v>
      </c>
      <c r="I507" s="3" t="s">
        <v>35</v>
      </c>
      <c r="J507" s="3">
        <v>5</v>
      </c>
      <c r="K507" s="5">
        <f>actual_vs_target_sales_dataset[[#This Row],[Sales_ Amount]]/actual_vs_target_sales_dataset[[#This Row],[Sales_Target]]</f>
        <v>0.9092456221538131</v>
      </c>
    </row>
    <row r="508" spans="1:11" x14ac:dyDescent="0.3">
      <c r="A508" s="2">
        <v>45068</v>
      </c>
      <c r="B508" s="3" t="s">
        <v>7</v>
      </c>
      <c r="C508" s="3" t="s">
        <v>25</v>
      </c>
      <c r="D508" s="3" t="s">
        <v>15</v>
      </c>
      <c r="E508" s="3" t="s">
        <v>19</v>
      </c>
      <c r="F508" s="3" t="s">
        <v>30</v>
      </c>
      <c r="G508" s="3">
        <v>-2565.89</v>
      </c>
      <c r="H508" s="3">
        <v>-2580.48</v>
      </c>
      <c r="I508" s="3" t="s">
        <v>35</v>
      </c>
      <c r="J508" s="3">
        <v>5</v>
      </c>
      <c r="K508" s="5">
        <f>actual_vs_target_sales_dataset[[#This Row],[Sales_ Amount]]/actual_vs_target_sales_dataset[[#This Row],[Sales_Target]]</f>
        <v>0.99434601314484117</v>
      </c>
    </row>
    <row r="509" spans="1:11" x14ac:dyDescent="0.3">
      <c r="A509" s="2">
        <v>45069</v>
      </c>
      <c r="B509" s="3" t="s">
        <v>7</v>
      </c>
      <c r="C509" s="3" t="s">
        <v>8</v>
      </c>
      <c r="D509" s="3" t="s">
        <v>18</v>
      </c>
      <c r="E509" s="3" t="s">
        <v>21</v>
      </c>
      <c r="F509" s="3" t="s">
        <v>11</v>
      </c>
      <c r="G509" s="3">
        <v>17197.07</v>
      </c>
      <c r="H509" s="3">
        <v>20073.91</v>
      </c>
      <c r="I509" s="3" t="s">
        <v>35</v>
      </c>
      <c r="J509" s="3">
        <v>5</v>
      </c>
      <c r="K509" s="5">
        <f>actual_vs_target_sales_dataset[[#This Row],[Sales_ Amount]]/actual_vs_target_sales_dataset[[#This Row],[Sales_Target]]</f>
        <v>0.8566876109337942</v>
      </c>
    </row>
    <row r="510" spans="1:11" x14ac:dyDescent="0.3">
      <c r="A510" s="2">
        <v>45070</v>
      </c>
      <c r="B510" s="3" t="s">
        <v>23</v>
      </c>
      <c r="C510" s="3" t="s">
        <v>22</v>
      </c>
      <c r="D510" s="3" t="s">
        <v>24</v>
      </c>
      <c r="E510" s="3" t="s">
        <v>19</v>
      </c>
      <c r="F510" s="3" t="s">
        <v>30</v>
      </c>
      <c r="G510" s="3">
        <v>13171.62</v>
      </c>
      <c r="H510" s="3">
        <v>13113.39</v>
      </c>
      <c r="I510" s="3" t="s">
        <v>35</v>
      </c>
      <c r="J510" s="3">
        <v>5</v>
      </c>
      <c r="K510" s="5">
        <f>actual_vs_target_sales_dataset[[#This Row],[Sales_ Amount]]/actual_vs_target_sales_dataset[[#This Row],[Sales_Target]]</f>
        <v>1.0044404993674405</v>
      </c>
    </row>
    <row r="511" spans="1:11" x14ac:dyDescent="0.3">
      <c r="A511" s="2">
        <v>45071</v>
      </c>
      <c r="B511" s="3" t="s">
        <v>7</v>
      </c>
      <c r="C511" s="3" t="s">
        <v>22</v>
      </c>
      <c r="D511" s="3" t="s">
        <v>9</v>
      </c>
      <c r="E511" s="3" t="s">
        <v>21</v>
      </c>
      <c r="F511" s="3" t="s">
        <v>31</v>
      </c>
      <c r="G511" s="3">
        <v>7069.34</v>
      </c>
      <c r="H511" s="3">
        <v>6973.83</v>
      </c>
      <c r="I511" s="3" t="s">
        <v>35</v>
      </c>
      <c r="J511" s="3">
        <v>5</v>
      </c>
      <c r="K511" s="5">
        <f>actual_vs_target_sales_dataset[[#This Row],[Sales_ Amount]]/actual_vs_target_sales_dataset[[#This Row],[Sales_Target]]</f>
        <v>1.0136954872717001</v>
      </c>
    </row>
    <row r="512" spans="1:11" x14ac:dyDescent="0.3">
      <c r="A512" s="2">
        <v>45072</v>
      </c>
      <c r="B512" s="3" t="s">
        <v>20</v>
      </c>
      <c r="C512" s="3" t="s">
        <v>8</v>
      </c>
      <c r="D512" s="3" t="s">
        <v>24</v>
      </c>
      <c r="E512" s="3" t="s">
        <v>21</v>
      </c>
      <c r="F512" s="3" t="s">
        <v>16</v>
      </c>
      <c r="G512" s="3">
        <v>4228.6000000000004</v>
      </c>
      <c r="H512" s="3">
        <v>4383.25</v>
      </c>
      <c r="I512" s="3" t="s">
        <v>35</v>
      </c>
      <c r="J512" s="3">
        <v>5</v>
      </c>
      <c r="K512" s="5">
        <f>actual_vs_target_sales_dataset[[#This Row],[Sales_ Amount]]/actual_vs_target_sales_dataset[[#This Row],[Sales_Target]]</f>
        <v>0.96471796041749847</v>
      </c>
    </row>
    <row r="513" spans="1:11" x14ac:dyDescent="0.3">
      <c r="A513" s="2">
        <v>45073</v>
      </c>
      <c r="B513" s="3" t="s">
        <v>7</v>
      </c>
      <c r="C513" s="3" t="s">
        <v>8</v>
      </c>
      <c r="D513" s="3" t="s">
        <v>9</v>
      </c>
      <c r="E513" s="3" t="s">
        <v>19</v>
      </c>
      <c r="F513" s="3" t="s">
        <v>28</v>
      </c>
      <c r="G513" s="3">
        <v>-2623.99</v>
      </c>
      <c r="H513" s="3">
        <v>-2347.19</v>
      </c>
      <c r="I513" s="3" t="s">
        <v>35</v>
      </c>
      <c r="J513" s="3">
        <v>5</v>
      </c>
      <c r="K513" s="5">
        <f>actual_vs_target_sales_dataset[[#This Row],[Sales_ Amount]]/actual_vs_target_sales_dataset[[#This Row],[Sales_Target]]</f>
        <v>1.117928246115568</v>
      </c>
    </row>
    <row r="514" spans="1:11" x14ac:dyDescent="0.3">
      <c r="A514" s="2">
        <v>45074</v>
      </c>
      <c r="B514" s="3" t="s">
        <v>23</v>
      </c>
      <c r="C514" s="3" t="s">
        <v>25</v>
      </c>
      <c r="D514" s="3" t="s">
        <v>24</v>
      </c>
      <c r="E514" s="3" t="s">
        <v>10</v>
      </c>
      <c r="F514" s="3" t="s">
        <v>26</v>
      </c>
      <c r="G514" s="3">
        <v>7915.76</v>
      </c>
      <c r="H514" s="3">
        <v>9017.36</v>
      </c>
      <c r="I514" s="3" t="s">
        <v>35</v>
      </c>
      <c r="J514" s="3">
        <v>5</v>
      </c>
      <c r="K514" s="5">
        <f>actual_vs_target_sales_dataset[[#This Row],[Sales_ Amount]]/actual_vs_target_sales_dataset[[#This Row],[Sales_Target]]</f>
        <v>0.87783564147377946</v>
      </c>
    </row>
    <row r="515" spans="1:11" x14ac:dyDescent="0.3">
      <c r="A515" s="2">
        <v>45075</v>
      </c>
      <c r="B515" s="3" t="s">
        <v>7</v>
      </c>
      <c r="C515" s="3" t="s">
        <v>8</v>
      </c>
      <c r="D515" s="3" t="s">
        <v>24</v>
      </c>
      <c r="E515" s="3" t="s">
        <v>10</v>
      </c>
      <c r="F515" s="3" t="s">
        <v>31</v>
      </c>
      <c r="G515" s="3">
        <v>15486.8</v>
      </c>
      <c r="H515" s="3">
        <v>17147.23</v>
      </c>
      <c r="I515" s="3" t="s">
        <v>35</v>
      </c>
      <c r="J515" s="3">
        <v>5</v>
      </c>
      <c r="K515" s="5">
        <f>actual_vs_target_sales_dataset[[#This Row],[Sales_ Amount]]/actual_vs_target_sales_dataset[[#This Row],[Sales_Target]]</f>
        <v>0.90316628400038956</v>
      </c>
    </row>
    <row r="516" spans="1:11" x14ac:dyDescent="0.3">
      <c r="A516" s="2">
        <v>45076</v>
      </c>
      <c r="B516" s="3" t="s">
        <v>7</v>
      </c>
      <c r="C516" s="3" t="s">
        <v>25</v>
      </c>
      <c r="D516" s="3" t="s">
        <v>15</v>
      </c>
      <c r="E516" s="3" t="s">
        <v>10</v>
      </c>
      <c r="F516" s="3" t="s">
        <v>29</v>
      </c>
      <c r="G516" s="3">
        <v>7733.68</v>
      </c>
      <c r="H516" s="3">
        <v>7616.41</v>
      </c>
      <c r="I516" s="3" t="s">
        <v>35</v>
      </c>
      <c r="J516" s="3">
        <v>5</v>
      </c>
      <c r="K516" s="5">
        <f>actual_vs_target_sales_dataset[[#This Row],[Sales_ Amount]]/actual_vs_target_sales_dataset[[#This Row],[Sales_Target]]</f>
        <v>1.0153970177550842</v>
      </c>
    </row>
    <row r="517" spans="1:11" x14ac:dyDescent="0.3">
      <c r="A517" s="2">
        <v>45077</v>
      </c>
      <c r="B517" s="3" t="s">
        <v>23</v>
      </c>
      <c r="C517" s="3" t="s">
        <v>14</v>
      </c>
      <c r="D517" s="3" t="s">
        <v>9</v>
      </c>
      <c r="E517" s="3" t="s">
        <v>19</v>
      </c>
      <c r="F517" s="3" t="s">
        <v>30</v>
      </c>
      <c r="G517" s="3">
        <v>523.72</v>
      </c>
      <c r="H517" s="3">
        <v>511.99</v>
      </c>
      <c r="I517" s="3" t="s">
        <v>35</v>
      </c>
      <c r="J517" s="3">
        <v>5</v>
      </c>
      <c r="K517" s="5">
        <f>actual_vs_target_sales_dataset[[#This Row],[Sales_ Amount]]/actual_vs_target_sales_dataset[[#This Row],[Sales_Target]]</f>
        <v>1.0229106037227289</v>
      </c>
    </row>
    <row r="518" spans="1:11" x14ac:dyDescent="0.3">
      <c r="A518" s="2">
        <v>45078</v>
      </c>
      <c r="B518" s="3" t="s">
        <v>23</v>
      </c>
      <c r="C518" s="3" t="s">
        <v>14</v>
      </c>
      <c r="D518" s="3" t="s">
        <v>18</v>
      </c>
      <c r="E518" s="3" t="s">
        <v>19</v>
      </c>
      <c r="F518" s="3" t="s">
        <v>27</v>
      </c>
      <c r="G518" s="3">
        <v>15570.89</v>
      </c>
      <c r="H518" s="3">
        <v>17780.849999999999</v>
      </c>
      <c r="I518" s="3" t="s">
        <v>36</v>
      </c>
      <c r="J518" s="3">
        <v>6</v>
      </c>
      <c r="K518" s="5">
        <f>actual_vs_target_sales_dataset[[#This Row],[Sales_ Amount]]/actual_vs_target_sales_dataset[[#This Row],[Sales_Target]]</f>
        <v>0.87571122865329842</v>
      </c>
    </row>
    <row r="519" spans="1:11" x14ac:dyDescent="0.3">
      <c r="A519" s="2">
        <v>45079</v>
      </c>
      <c r="B519" s="3" t="s">
        <v>7</v>
      </c>
      <c r="C519" s="3" t="s">
        <v>25</v>
      </c>
      <c r="D519" s="3" t="s">
        <v>9</v>
      </c>
      <c r="E519" s="3" t="s">
        <v>10</v>
      </c>
      <c r="F519" s="3" t="s">
        <v>27</v>
      </c>
      <c r="G519" s="3">
        <v>2656.83</v>
      </c>
      <c r="H519" s="3">
        <v>3087.8</v>
      </c>
      <c r="I519" s="3" t="s">
        <v>36</v>
      </c>
      <c r="J519" s="3">
        <v>6</v>
      </c>
      <c r="K519" s="5">
        <f>actual_vs_target_sales_dataset[[#This Row],[Sales_ Amount]]/actual_vs_target_sales_dataset[[#This Row],[Sales_Target]]</f>
        <v>0.8604281365373404</v>
      </c>
    </row>
    <row r="520" spans="1:11" x14ac:dyDescent="0.3">
      <c r="A520" s="2">
        <v>45080</v>
      </c>
      <c r="B520" s="3" t="s">
        <v>20</v>
      </c>
      <c r="C520" s="3" t="s">
        <v>8</v>
      </c>
      <c r="D520" s="3" t="s">
        <v>9</v>
      </c>
      <c r="E520" s="3" t="s">
        <v>10</v>
      </c>
      <c r="F520" s="3" t="s">
        <v>29</v>
      </c>
      <c r="G520" s="3">
        <v>16716.599999999999</v>
      </c>
      <c r="H520" s="3">
        <v>15668.2</v>
      </c>
      <c r="I520" s="3" t="s">
        <v>36</v>
      </c>
      <c r="J520" s="3">
        <v>6</v>
      </c>
      <c r="K520" s="5">
        <f>actual_vs_target_sales_dataset[[#This Row],[Sales_ Amount]]/actual_vs_target_sales_dataset[[#This Row],[Sales_Target]]</f>
        <v>1.0669126000433999</v>
      </c>
    </row>
    <row r="521" spans="1:11" x14ac:dyDescent="0.3">
      <c r="A521" s="2">
        <v>45081</v>
      </c>
      <c r="B521" s="3" t="s">
        <v>17</v>
      </c>
      <c r="C521" s="3" t="s">
        <v>14</v>
      </c>
      <c r="D521" s="3" t="s">
        <v>24</v>
      </c>
      <c r="E521" s="3" t="s">
        <v>10</v>
      </c>
      <c r="F521" s="3" t="s">
        <v>31</v>
      </c>
      <c r="G521" s="3">
        <v>10475.1</v>
      </c>
      <c r="H521" s="3">
        <v>11255.78</v>
      </c>
      <c r="I521" s="3" t="s">
        <v>36</v>
      </c>
      <c r="J521" s="3">
        <v>6</v>
      </c>
      <c r="K521" s="5">
        <f>actual_vs_target_sales_dataset[[#This Row],[Sales_ Amount]]/actual_vs_target_sales_dataset[[#This Row],[Sales_Target]]</f>
        <v>0.93064185689485757</v>
      </c>
    </row>
    <row r="522" spans="1:11" x14ac:dyDescent="0.3">
      <c r="A522" s="2">
        <v>45082</v>
      </c>
      <c r="B522" s="3" t="s">
        <v>7</v>
      </c>
      <c r="C522" s="3" t="s">
        <v>25</v>
      </c>
      <c r="D522" s="3" t="s">
        <v>18</v>
      </c>
      <c r="E522" s="3" t="s">
        <v>19</v>
      </c>
      <c r="F522" s="3" t="s">
        <v>31</v>
      </c>
      <c r="G522" s="3">
        <v>6030.52</v>
      </c>
      <c r="H522" s="3">
        <v>5926.3</v>
      </c>
      <c r="I522" s="3" t="s">
        <v>36</v>
      </c>
      <c r="J522" s="3">
        <v>6</v>
      </c>
      <c r="K522" s="5">
        <f>actual_vs_target_sales_dataset[[#This Row],[Sales_ Amount]]/actual_vs_target_sales_dataset[[#This Row],[Sales_Target]]</f>
        <v>1.0175860148828106</v>
      </c>
    </row>
    <row r="523" spans="1:11" x14ac:dyDescent="0.3">
      <c r="A523" s="2">
        <v>45083</v>
      </c>
      <c r="B523" s="3" t="s">
        <v>17</v>
      </c>
      <c r="C523" s="3" t="s">
        <v>14</v>
      </c>
      <c r="D523" s="3" t="s">
        <v>9</v>
      </c>
      <c r="E523" s="3" t="s">
        <v>10</v>
      </c>
      <c r="F523" s="3" t="s">
        <v>28</v>
      </c>
      <c r="G523" s="3">
        <v>-436.86</v>
      </c>
      <c r="H523" s="3">
        <v>-430.41</v>
      </c>
      <c r="I523" s="3" t="s">
        <v>36</v>
      </c>
      <c r="J523" s="3">
        <v>6</v>
      </c>
      <c r="K523" s="5">
        <f>actual_vs_target_sales_dataset[[#This Row],[Sales_ Amount]]/actual_vs_target_sales_dataset[[#This Row],[Sales_Target]]</f>
        <v>1.0149857112985292</v>
      </c>
    </row>
    <row r="524" spans="1:11" x14ac:dyDescent="0.3">
      <c r="A524" s="2">
        <v>45084</v>
      </c>
      <c r="B524" s="3" t="s">
        <v>13</v>
      </c>
      <c r="C524" s="3" t="s">
        <v>14</v>
      </c>
      <c r="D524" s="3" t="s">
        <v>24</v>
      </c>
      <c r="E524" s="3" t="s">
        <v>10</v>
      </c>
      <c r="F524" s="3" t="s">
        <v>28</v>
      </c>
      <c r="G524" s="3">
        <v>4324.2700000000004</v>
      </c>
      <c r="H524" s="3">
        <v>4025.36</v>
      </c>
      <c r="I524" s="3" t="s">
        <v>36</v>
      </c>
      <c r="J524" s="3">
        <v>6</v>
      </c>
      <c r="K524" s="5">
        <f>actual_vs_target_sales_dataset[[#This Row],[Sales_ Amount]]/actual_vs_target_sales_dataset[[#This Row],[Sales_Target]]</f>
        <v>1.0742567124431108</v>
      </c>
    </row>
    <row r="525" spans="1:11" x14ac:dyDescent="0.3">
      <c r="A525" s="2">
        <v>45085</v>
      </c>
      <c r="B525" s="3" t="s">
        <v>7</v>
      </c>
      <c r="C525" s="3" t="s">
        <v>25</v>
      </c>
      <c r="D525" s="3" t="s">
        <v>9</v>
      </c>
      <c r="E525" s="3" t="s">
        <v>21</v>
      </c>
      <c r="F525" s="3" t="s">
        <v>26</v>
      </c>
      <c r="G525" s="3">
        <v>1185.21</v>
      </c>
      <c r="H525" s="3">
        <v>1346.71</v>
      </c>
      <c r="I525" s="3" t="s">
        <v>36</v>
      </c>
      <c r="J525" s="3">
        <v>6</v>
      </c>
      <c r="K525" s="5">
        <f>actual_vs_target_sales_dataset[[#This Row],[Sales_ Amount]]/actual_vs_target_sales_dataset[[#This Row],[Sales_Target]]</f>
        <v>0.88007811629823796</v>
      </c>
    </row>
    <row r="526" spans="1:11" x14ac:dyDescent="0.3">
      <c r="A526" s="2">
        <v>45086</v>
      </c>
      <c r="B526" s="3" t="s">
        <v>17</v>
      </c>
      <c r="C526" s="3" t="s">
        <v>25</v>
      </c>
      <c r="D526" s="3" t="s">
        <v>15</v>
      </c>
      <c r="E526" s="3" t="s">
        <v>21</v>
      </c>
      <c r="F526" s="3" t="s">
        <v>26</v>
      </c>
      <c r="G526" s="3">
        <v>24781.74</v>
      </c>
      <c r="H526" s="3">
        <v>27785.5</v>
      </c>
      <c r="I526" s="3" t="s">
        <v>36</v>
      </c>
      <c r="J526" s="3">
        <v>6</v>
      </c>
      <c r="K526" s="5">
        <f>actual_vs_target_sales_dataset[[#This Row],[Sales_ Amount]]/actual_vs_target_sales_dataset[[#This Row],[Sales_Target]]</f>
        <v>0.89189469327526949</v>
      </c>
    </row>
    <row r="527" spans="1:11" x14ac:dyDescent="0.3">
      <c r="A527" s="2">
        <v>45087</v>
      </c>
      <c r="B527" s="3" t="s">
        <v>13</v>
      </c>
      <c r="C527" s="3" t="s">
        <v>22</v>
      </c>
      <c r="D527" s="3" t="s">
        <v>9</v>
      </c>
      <c r="E527" s="3" t="s">
        <v>10</v>
      </c>
      <c r="F527" s="3" t="s">
        <v>16</v>
      </c>
      <c r="G527" s="3">
        <v>14303.57</v>
      </c>
      <c r="H527" s="3">
        <v>14399.68</v>
      </c>
      <c r="I527" s="3" t="s">
        <v>36</v>
      </c>
      <c r="J527" s="3">
        <v>6</v>
      </c>
      <c r="K527" s="5">
        <f>actual_vs_target_sales_dataset[[#This Row],[Sales_ Amount]]/actual_vs_target_sales_dataset[[#This Row],[Sales_Target]]</f>
        <v>0.99332554612324719</v>
      </c>
    </row>
    <row r="528" spans="1:11" x14ac:dyDescent="0.3">
      <c r="A528" s="2">
        <v>45088</v>
      </c>
      <c r="B528" s="3" t="s">
        <v>7</v>
      </c>
      <c r="C528" s="3" t="s">
        <v>14</v>
      </c>
      <c r="D528" s="3" t="s">
        <v>18</v>
      </c>
      <c r="E528" s="3" t="s">
        <v>10</v>
      </c>
      <c r="F528" s="3" t="s">
        <v>27</v>
      </c>
      <c r="G528" s="3">
        <v>7366.77</v>
      </c>
      <c r="H528" s="3">
        <v>7806.86</v>
      </c>
      <c r="I528" s="3" t="s">
        <v>36</v>
      </c>
      <c r="J528" s="3">
        <v>6</v>
      </c>
      <c r="K528" s="5">
        <f>actual_vs_target_sales_dataset[[#This Row],[Sales_ Amount]]/actual_vs_target_sales_dataset[[#This Row],[Sales_Target]]</f>
        <v>0.94362778376965906</v>
      </c>
    </row>
    <row r="529" spans="1:11" x14ac:dyDescent="0.3">
      <c r="A529" s="2">
        <v>45089</v>
      </c>
      <c r="B529" s="3" t="s">
        <v>7</v>
      </c>
      <c r="C529" s="3" t="s">
        <v>25</v>
      </c>
      <c r="D529" s="3" t="s">
        <v>18</v>
      </c>
      <c r="E529" s="3" t="s">
        <v>19</v>
      </c>
      <c r="F529" s="3" t="s">
        <v>27</v>
      </c>
      <c r="G529" s="3">
        <v>7634.95</v>
      </c>
      <c r="H529" s="3">
        <v>7789.79</v>
      </c>
      <c r="I529" s="3" t="s">
        <v>36</v>
      </c>
      <c r="J529" s="3">
        <v>6</v>
      </c>
      <c r="K529" s="5">
        <f>actual_vs_target_sales_dataset[[#This Row],[Sales_ Amount]]/actual_vs_target_sales_dataset[[#This Row],[Sales_Target]]</f>
        <v>0.98012269907147687</v>
      </c>
    </row>
    <row r="530" spans="1:11" x14ac:dyDescent="0.3">
      <c r="A530" s="2">
        <v>45090</v>
      </c>
      <c r="B530" s="3" t="s">
        <v>13</v>
      </c>
      <c r="C530" s="3" t="s">
        <v>8</v>
      </c>
      <c r="D530" s="3" t="s">
        <v>18</v>
      </c>
      <c r="E530" s="3" t="s">
        <v>19</v>
      </c>
      <c r="F530" s="3" t="s">
        <v>29</v>
      </c>
      <c r="G530" s="3">
        <v>10811.49</v>
      </c>
      <c r="H530" s="3">
        <v>10381.64</v>
      </c>
      <c r="I530" s="3" t="s">
        <v>36</v>
      </c>
      <c r="J530" s="3">
        <v>6</v>
      </c>
      <c r="K530" s="5">
        <f>actual_vs_target_sales_dataset[[#This Row],[Sales_ Amount]]/actual_vs_target_sales_dataset[[#This Row],[Sales_Target]]</f>
        <v>1.0414048262124289</v>
      </c>
    </row>
    <row r="531" spans="1:11" x14ac:dyDescent="0.3">
      <c r="A531" s="2">
        <v>45091</v>
      </c>
      <c r="B531" s="3" t="s">
        <v>20</v>
      </c>
      <c r="C531" s="3" t="s">
        <v>8</v>
      </c>
      <c r="D531" s="3" t="s">
        <v>15</v>
      </c>
      <c r="E531" s="3" t="s">
        <v>10</v>
      </c>
      <c r="F531" s="3" t="s">
        <v>31</v>
      </c>
      <c r="G531" s="3">
        <v>18512.05</v>
      </c>
      <c r="H531" s="3">
        <v>18758.98</v>
      </c>
      <c r="I531" s="3" t="s">
        <v>36</v>
      </c>
      <c r="J531" s="3">
        <v>6</v>
      </c>
      <c r="K531" s="5">
        <f>actual_vs_target_sales_dataset[[#This Row],[Sales_ Amount]]/actual_vs_target_sales_dataset[[#This Row],[Sales_Target]]</f>
        <v>0.98683670434106752</v>
      </c>
    </row>
    <row r="532" spans="1:11" x14ac:dyDescent="0.3">
      <c r="A532" s="2">
        <v>45092</v>
      </c>
      <c r="B532" s="3" t="s">
        <v>7</v>
      </c>
      <c r="C532" s="3" t="s">
        <v>22</v>
      </c>
      <c r="D532" s="3" t="s">
        <v>9</v>
      </c>
      <c r="E532" s="3" t="s">
        <v>21</v>
      </c>
      <c r="F532" s="3" t="s">
        <v>11</v>
      </c>
      <c r="G532" s="3">
        <v>2419.7600000000002</v>
      </c>
      <c r="H532" s="3">
        <v>2779.6</v>
      </c>
      <c r="I532" s="3" t="s">
        <v>36</v>
      </c>
      <c r="J532" s="3">
        <v>6</v>
      </c>
      <c r="K532" s="5">
        <f>actual_vs_target_sales_dataset[[#This Row],[Sales_ Amount]]/actual_vs_target_sales_dataset[[#This Row],[Sales_Target]]</f>
        <v>0.87054252410418775</v>
      </c>
    </row>
    <row r="533" spans="1:11" x14ac:dyDescent="0.3">
      <c r="A533" s="2">
        <v>45093</v>
      </c>
      <c r="B533" s="3" t="s">
        <v>13</v>
      </c>
      <c r="C533" s="3" t="s">
        <v>14</v>
      </c>
      <c r="D533" s="3" t="s">
        <v>9</v>
      </c>
      <c r="E533" s="3" t="s">
        <v>10</v>
      </c>
      <c r="F533" s="3" t="s">
        <v>26</v>
      </c>
      <c r="G533" s="3">
        <v>10849.92</v>
      </c>
      <c r="H533" s="3">
        <v>12677.07</v>
      </c>
      <c r="I533" s="3" t="s">
        <v>36</v>
      </c>
      <c r="J533" s="3">
        <v>6</v>
      </c>
      <c r="K533" s="5">
        <f>actual_vs_target_sales_dataset[[#This Row],[Sales_ Amount]]/actual_vs_target_sales_dataset[[#This Row],[Sales_Target]]</f>
        <v>0.8558696922869401</v>
      </c>
    </row>
    <row r="534" spans="1:11" x14ac:dyDescent="0.3">
      <c r="A534" s="2">
        <v>45094</v>
      </c>
      <c r="B534" s="3" t="s">
        <v>20</v>
      </c>
      <c r="C534" s="3" t="s">
        <v>14</v>
      </c>
      <c r="D534" s="3" t="s">
        <v>9</v>
      </c>
      <c r="E534" s="3" t="s">
        <v>19</v>
      </c>
      <c r="F534" s="3" t="s">
        <v>31</v>
      </c>
      <c r="G534" s="3">
        <v>8779.56</v>
      </c>
      <c r="H534" s="3">
        <v>8702.75</v>
      </c>
      <c r="I534" s="3" t="s">
        <v>36</v>
      </c>
      <c r="J534" s="3">
        <v>6</v>
      </c>
      <c r="K534" s="5">
        <f>actual_vs_target_sales_dataset[[#This Row],[Sales_ Amount]]/actual_vs_target_sales_dataset[[#This Row],[Sales_Target]]</f>
        <v>1.008825945821723</v>
      </c>
    </row>
    <row r="535" spans="1:11" x14ac:dyDescent="0.3">
      <c r="A535" s="2">
        <v>45095</v>
      </c>
      <c r="B535" s="3" t="s">
        <v>23</v>
      </c>
      <c r="C535" s="3" t="s">
        <v>14</v>
      </c>
      <c r="D535" s="3" t="s">
        <v>24</v>
      </c>
      <c r="E535" s="3" t="s">
        <v>19</v>
      </c>
      <c r="F535" s="3" t="s">
        <v>29</v>
      </c>
      <c r="G535" s="3">
        <v>7283.53</v>
      </c>
      <c r="H535" s="3">
        <v>8020.14</v>
      </c>
      <c r="I535" s="3" t="s">
        <v>36</v>
      </c>
      <c r="J535" s="3">
        <v>6</v>
      </c>
      <c r="K535" s="5">
        <f>actual_vs_target_sales_dataset[[#This Row],[Sales_ Amount]]/actual_vs_target_sales_dataset[[#This Row],[Sales_Target]]</f>
        <v>0.90815496986336885</v>
      </c>
    </row>
    <row r="536" spans="1:11" x14ac:dyDescent="0.3">
      <c r="A536" s="2">
        <v>45096</v>
      </c>
      <c r="B536" s="3" t="s">
        <v>13</v>
      </c>
      <c r="C536" s="3" t="s">
        <v>8</v>
      </c>
      <c r="D536" s="3" t="s">
        <v>15</v>
      </c>
      <c r="E536" s="3" t="s">
        <v>21</v>
      </c>
      <c r="F536" s="3" t="s">
        <v>26</v>
      </c>
      <c r="G536" s="3">
        <v>13627.73</v>
      </c>
      <c r="H536" s="3">
        <v>13300.64</v>
      </c>
      <c r="I536" s="3" t="s">
        <v>36</v>
      </c>
      <c r="J536" s="3">
        <v>6</v>
      </c>
      <c r="K536" s="5">
        <f>actual_vs_target_sales_dataset[[#This Row],[Sales_ Amount]]/actual_vs_target_sales_dataset[[#This Row],[Sales_Target]]</f>
        <v>1.0245920497058789</v>
      </c>
    </row>
    <row r="537" spans="1:11" x14ac:dyDescent="0.3">
      <c r="A537" s="2">
        <v>45097</v>
      </c>
      <c r="B537" s="3" t="s">
        <v>23</v>
      </c>
      <c r="C537" s="3" t="s">
        <v>22</v>
      </c>
      <c r="D537" s="3" t="s">
        <v>9</v>
      </c>
      <c r="E537" s="3" t="s">
        <v>10</v>
      </c>
      <c r="F537" s="3" t="s">
        <v>29</v>
      </c>
      <c r="G537" s="3">
        <v>13584.1</v>
      </c>
      <c r="H537" s="3">
        <v>15610.79</v>
      </c>
      <c r="I537" s="3" t="s">
        <v>36</v>
      </c>
      <c r="J537" s="3">
        <v>6</v>
      </c>
      <c r="K537" s="5">
        <f>actual_vs_target_sales_dataset[[#This Row],[Sales_ Amount]]/actual_vs_target_sales_dataset[[#This Row],[Sales_Target]]</f>
        <v>0.87017377083414738</v>
      </c>
    </row>
    <row r="538" spans="1:11" x14ac:dyDescent="0.3">
      <c r="A538" s="2">
        <v>45098</v>
      </c>
      <c r="B538" s="3" t="s">
        <v>7</v>
      </c>
      <c r="C538" s="3" t="s">
        <v>25</v>
      </c>
      <c r="D538" s="3" t="s">
        <v>24</v>
      </c>
      <c r="E538" s="3" t="s">
        <v>21</v>
      </c>
      <c r="F538" s="3" t="s">
        <v>31</v>
      </c>
      <c r="G538" s="3">
        <v>15755.4</v>
      </c>
      <c r="H538" s="3">
        <v>17490.21</v>
      </c>
      <c r="I538" s="3" t="s">
        <v>36</v>
      </c>
      <c r="J538" s="3">
        <v>6</v>
      </c>
      <c r="K538" s="5">
        <f>actual_vs_target_sales_dataset[[#This Row],[Sales_ Amount]]/actual_vs_target_sales_dataset[[#This Row],[Sales_Target]]</f>
        <v>0.90081251168510845</v>
      </c>
    </row>
    <row r="539" spans="1:11" x14ac:dyDescent="0.3">
      <c r="A539" s="2">
        <v>45099</v>
      </c>
      <c r="B539" s="3" t="s">
        <v>13</v>
      </c>
      <c r="C539" s="3" t="s">
        <v>22</v>
      </c>
      <c r="D539" s="3" t="s">
        <v>9</v>
      </c>
      <c r="E539" s="3" t="s">
        <v>21</v>
      </c>
      <c r="F539" s="3" t="s">
        <v>27</v>
      </c>
      <c r="G539" s="3">
        <v>-367.85</v>
      </c>
      <c r="H539" s="3">
        <v>-367.28</v>
      </c>
      <c r="I539" s="3" t="s">
        <v>36</v>
      </c>
      <c r="J539" s="3">
        <v>6</v>
      </c>
      <c r="K539" s="5">
        <f>actual_vs_target_sales_dataset[[#This Row],[Sales_ Amount]]/actual_vs_target_sales_dataset[[#This Row],[Sales_Target]]</f>
        <v>1.0015519494663474</v>
      </c>
    </row>
    <row r="540" spans="1:11" x14ac:dyDescent="0.3">
      <c r="A540" s="2">
        <v>45100</v>
      </c>
      <c r="B540" s="3" t="s">
        <v>23</v>
      </c>
      <c r="C540" s="3" t="s">
        <v>8</v>
      </c>
      <c r="D540" s="3" t="s">
        <v>9</v>
      </c>
      <c r="E540" s="3" t="s">
        <v>21</v>
      </c>
      <c r="F540" s="3" t="s">
        <v>31</v>
      </c>
      <c r="G540" s="3">
        <v>-505.58</v>
      </c>
      <c r="H540" s="3">
        <v>-524.34</v>
      </c>
      <c r="I540" s="3" t="s">
        <v>36</v>
      </c>
      <c r="J540" s="3">
        <v>6</v>
      </c>
      <c r="K540" s="5">
        <f>actual_vs_target_sales_dataset[[#This Row],[Sales_ Amount]]/actual_vs_target_sales_dataset[[#This Row],[Sales_Target]]</f>
        <v>0.96422168821756871</v>
      </c>
    </row>
    <row r="541" spans="1:11" x14ac:dyDescent="0.3">
      <c r="A541" s="2">
        <v>45101</v>
      </c>
      <c r="B541" s="3" t="s">
        <v>23</v>
      </c>
      <c r="C541" s="3" t="s">
        <v>8</v>
      </c>
      <c r="D541" s="3" t="s">
        <v>18</v>
      </c>
      <c r="E541" s="3" t="s">
        <v>10</v>
      </c>
      <c r="F541" s="3" t="s">
        <v>28</v>
      </c>
      <c r="G541" s="3">
        <v>-2455.8200000000002</v>
      </c>
      <c r="H541" s="3">
        <v>-2263.0300000000002</v>
      </c>
      <c r="I541" s="3" t="s">
        <v>36</v>
      </c>
      <c r="J541" s="3">
        <v>6</v>
      </c>
      <c r="K541" s="5">
        <f>actual_vs_target_sales_dataset[[#This Row],[Sales_ Amount]]/actual_vs_target_sales_dataset[[#This Row],[Sales_Target]]</f>
        <v>1.0851910933571363</v>
      </c>
    </row>
    <row r="542" spans="1:11" x14ac:dyDescent="0.3">
      <c r="A542" s="2">
        <v>45102</v>
      </c>
      <c r="B542" s="3" t="s">
        <v>20</v>
      </c>
      <c r="C542" s="3" t="s">
        <v>22</v>
      </c>
      <c r="D542" s="3" t="s">
        <v>18</v>
      </c>
      <c r="E542" s="3" t="s">
        <v>10</v>
      </c>
      <c r="F542" s="3" t="s">
        <v>11</v>
      </c>
      <c r="G542" s="3">
        <v>6653.38</v>
      </c>
      <c r="H542" s="3">
        <v>6381.58</v>
      </c>
      <c r="I542" s="3" t="s">
        <v>36</v>
      </c>
      <c r="J542" s="3">
        <v>6</v>
      </c>
      <c r="K542" s="5">
        <f>actual_vs_target_sales_dataset[[#This Row],[Sales_ Amount]]/actual_vs_target_sales_dataset[[#This Row],[Sales_Target]]</f>
        <v>1.042591333180811</v>
      </c>
    </row>
    <row r="543" spans="1:11" x14ac:dyDescent="0.3">
      <c r="A543" s="2">
        <v>45103</v>
      </c>
      <c r="B543" s="3" t="s">
        <v>20</v>
      </c>
      <c r="C543" s="3" t="s">
        <v>14</v>
      </c>
      <c r="D543" s="3" t="s">
        <v>9</v>
      </c>
      <c r="E543" s="3" t="s">
        <v>10</v>
      </c>
      <c r="F543" s="3" t="s">
        <v>29</v>
      </c>
      <c r="G543" s="3">
        <v>16739.36</v>
      </c>
      <c r="H543" s="3">
        <v>17671.62</v>
      </c>
      <c r="I543" s="3" t="s">
        <v>36</v>
      </c>
      <c r="J543" s="3">
        <v>6</v>
      </c>
      <c r="K543" s="5">
        <f>actual_vs_target_sales_dataset[[#This Row],[Sales_ Amount]]/actual_vs_target_sales_dataset[[#This Row],[Sales_Target]]</f>
        <v>0.94724535724511971</v>
      </c>
    </row>
    <row r="544" spans="1:11" x14ac:dyDescent="0.3">
      <c r="A544" s="2">
        <v>45104</v>
      </c>
      <c r="B544" s="3" t="s">
        <v>7</v>
      </c>
      <c r="C544" s="3" t="s">
        <v>22</v>
      </c>
      <c r="D544" s="3" t="s">
        <v>9</v>
      </c>
      <c r="E544" s="3" t="s">
        <v>19</v>
      </c>
      <c r="F544" s="3" t="s">
        <v>29</v>
      </c>
      <c r="G544" s="3">
        <v>13019.15</v>
      </c>
      <c r="H544" s="3">
        <v>12729.9</v>
      </c>
      <c r="I544" s="3" t="s">
        <v>36</v>
      </c>
      <c r="J544" s="3">
        <v>6</v>
      </c>
      <c r="K544" s="5">
        <f>actual_vs_target_sales_dataset[[#This Row],[Sales_ Amount]]/actual_vs_target_sales_dataset[[#This Row],[Sales_Target]]</f>
        <v>1.0227220952246285</v>
      </c>
    </row>
    <row r="545" spans="1:11" x14ac:dyDescent="0.3">
      <c r="A545" s="2">
        <v>45105</v>
      </c>
      <c r="B545" s="3" t="s">
        <v>23</v>
      </c>
      <c r="C545" s="3" t="s">
        <v>25</v>
      </c>
      <c r="D545" s="3" t="s">
        <v>24</v>
      </c>
      <c r="E545" s="3" t="s">
        <v>10</v>
      </c>
      <c r="F545" s="3" t="s">
        <v>29</v>
      </c>
      <c r="G545" s="3">
        <v>15950.84</v>
      </c>
      <c r="H545" s="3">
        <v>12947.02</v>
      </c>
      <c r="I545" s="3" t="s">
        <v>36</v>
      </c>
      <c r="J545" s="3">
        <v>6</v>
      </c>
      <c r="K545" s="5">
        <f>actual_vs_target_sales_dataset[[#This Row],[Sales_ Amount]]/actual_vs_target_sales_dataset[[#This Row],[Sales_Target]]</f>
        <v>1.232008601207073</v>
      </c>
    </row>
    <row r="546" spans="1:11" x14ac:dyDescent="0.3">
      <c r="A546" s="2">
        <v>45106</v>
      </c>
      <c r="B546" s="3" t="s">
        <v>23</v>
      </c>
      <c r="C546" s="3" t="s">
        <v>8</v>
      </c>
      <c r="D546" s="3" t="s">
        <v>9</v>
      </c>
      <c r="E546" s="3" t="s">
        <v>10</v>
      </c>
      <c r="F546" s="3" t="s">
        <v>26</v>
      </c>
      <c r="G546" s="3">
        <v>10355.959999999999</v>
      </c>
      <c r="H546" s="3">
        <v>10798.35</v>
      </c>
      <c r="I546" s="3" t="s">
        <v>36</v>
      </c>
      <c r="J546" s="3">
        <v>6</v>
      </c>
      <c r="K546" s="5">
        <f>actual_vs_target_sales_dataset[[#This Row],[Sales_ Amount]]/actual_vs_target_sales_dataset[[#This Row],[Sales_Target]]</f>
        <v>0.95903170391772807</v>
      </c>
    </row>
    <row r="547" spans="1:11" x14ac:dyDescent="0.3">
      <c r="A547" s="2">
        <v>45107</v>
      </c>
      <c r="B547" s="3" t="s">
        <v>17</v>
      </c>
      <c r="C547" s="3" t="s">
        <v>14</v>
      </c>
      <c r="D547" s="3" t="s">
        <v>18</v>
      </c>
      <c r="E547" s="3" t="s">
        <v>21</v>
      </c>
      <c r="F547" s="3" t="s">
        <v>30</v>
      </c>
      <c r="G547" s="3">
        <v>17121.66</v>
      </c>
      <c r="H547" s="3">
        <v>16091.17</v>
      </c>
      <c r="I547" s="3" t="s">
        <v>36</v>
      </c>
      <c r="J547" s="3">
        <v>6</v>
      </c>
      <c r="K547" s="5">
        <f>actual_vs_target_sales_dataset[[#This Row],[Sales_ Amount]]/actual_vs_target_sales_dataset[[#This Row],[Sales_Target]]</f>
        <v>1.0640407130121676</v>
      </c>
    </row>
    <row r="548" spans="1:11" x14ac:dyDescent="0.3">
      <c r="A548" s="2">
        <v>45108</v>
      </c>
      <c r="B548" s="3" t="s">
        <v>7</v>
      </c>
      <c r="C548" s="3" t="s">
        <v>8</v>
      </c>
      <c r="D548" s="3" t="s">
        <v>18</v>
      </c>
      <c r="E548" s="3" t="s">
        <v>19</v>
      </c>
      <c r="F548" s="3" t="s">
        <v>16</v>
      </c>
      <c r="G548" s="3">
        <v>15503.05</v>
      </c>
      <c r="H548" s="3">
        <v>13110.16</v>
      </c>
      <c r="I548" s="3" t="s">
        <v>37</v>
      </c>
      <c r="J548" s="3">
        <v>7</v>
      </c>
      <c r="K548" s="5">
        <f>actual_vs_target_sales_dataset[[#This Row],[Sales_ Amount]]/actual_vs_target_sales_dataset[[#This Row],[Sales_Target]]</f>
        <v>1.1825217998865003</v>
      </c>
    </row>
    <row r="549" spans="1:11" x14ac:dyDescent="0.3">
      <c r="A549" s="2">
        <v>45109</v>
      </c>
      <c r="B549" s="3" t="s">
        <v>20</v>
      </c>
      <c r="C549" s="3" t="s">
        <v>25</v>
      </c>
      <c r="D549" s="3" t="s">
        <v>18</v>
      </c>
      <c r="E549" s="3" t="s">
        <v>10</v>
      </c>
      <c r="F549" s="3" t="s">
        <v>16</v>
      </c>
      <c r="G549" s="3">
        <v>13406.36</v>
      </c>
      <c r="H549" s="3">
        <v>12154.81</v>
      </c>
      <c r="I549" s="3" t="s">
        <v>37</v>
      </c>
      <c r="J549" s="3">
        <v>7</v>
      </c>
      <c r="K549" s="5">
        <f>actual_vs_target_sales_dataset[[#This Row],[Sales_ Amount]]/actual_vs_target_sales_dataset[[#This Row],[Sales_Target]]</f>
        <v>1.1029674672002279</v>
      </c>
    </row>
    <row r="550" spans="1:11" x14ac:dyDescent="0.3">
      <c r="A550" s="2">
        <v>45110</v>
      </c>
      <c r="B550" s="3" t="s">
        <v>7</v>
      </c>
      <c r="C550" s="3" t="s">
        <v>14</v>
      </c>
      <c r="D550" s="3" t="s">
        <v>15</v>
      </c>
      <c r="E550" s="3" t="s">
        <v>10</v>
      </c>
      <c r="F550" s="3" t="s">
        <v>31</v>
      </c>
      <c r="G550" s="3">
        <v>-5.36</v>
      </c>
      <c r="H550" s="3">
        <v>-4.38</v>
      </c>
      <c r="I550" s="3" t="s">
        <v>37</v>
      </c>
      <c r="J550" s="3">
        <v>7</v>
      </c>
      <c r="K550" s="5">
        <f>actual_vs_target_sales_dataset[[#This Row],[Sales_ Amount]]/actual_vs_target_sales_dataset[[#This Row],[Sales_Target]]</f>
        <v>1.2237442922374431</v>
      </c>
    </row>
    <row r="551" spans="1:11" x14ac:dyDescent="0.3">
      <c r="A551" s="2">
        <v>45111</v>
      </c>
      <c r="B551" s="3" t="s">
        <v>13</v>
      </c>
      <c r="C551" s="3" t="s">
        <v>22</v>
      </c>
      <c r="D551" s="3" t="s">
        <v>24</v>
      </c>
      <c r="E551" s="3" t="s">
        <v>19</v>
      </c>
      <c r="F551" s="3" t="s">
        <v>26</v>
      </c>
      <c r="G551" s="3">
        <v>-5162.8900000000003</v>
      </c>
      <c r="H551" s="3">
        <v>-4688.43</v>
      </c>
      <c r="I551" s="3" t="s">
        <v>37</v>
      </c>
      <c r="J551" s="3">
        <v>7</v>
      </c>
      <c r="K551" s="5">
        <f>actual_vs_target_sales_dataset[[#This Row],[Sales_ Amount]]/actual_vs_target_sales_dataset[[#This Row],[Sales_Target]]</f>
        <v>1.1011980556390946</v>
      </c>
    </row>
    <row r="552" spans="1:11" x14ac:dyDescent="0.3">
      <c r="A552" s="2">
        <v>45112</v>
      </c>
      <c r="B552" s="3" t="s">
        <v>17</v>
      </c>
      <c r="C552" s="3" t="s">
        <v>22</v>
      </c>
      <c r="D552" s="3" t="s">
        <v>18</v>
      </c>
      <c r="E552" s="3" t="s">
        <v>19</v>
      </c>
      <c r="F552" s="3" t="s">
        <v>29</v>
      </c>
      <c r="G552" s="3">
        <v>693.01</v>
      </c>
      <c r="H552" s="3">
        <v>673.5</v>
      </c>
      <c r="I552" s="3" t="s">
        <v>37</v>
      </c>
      <c r="J552" s="3">
        <v>7</v>
      </c>
      <c r="K552" s="5">
        <f>actual_vs_target_sales_dataset[[#This Row],[Sales_ Amount]]/actual_vs_target_sales_dataset[[#This Row],[Sales_Target]]</f>
        <v>1.0289680772086116</v>
      </c>
    </row>
    <row r="553" spans="1:11" x14ac:dyDescent="0.3">
      <c r="A553" s="2">
        <v>45113</v>
      </c>
      <c r="B553" s="3" t="s">
        <v>17</v>
      </c>
      <c r="C553" s="3" t="s">
        <v>14</v>
      </c>
      <c r="D553" s="3" t="s">
        <v>24</v>
      </c>
      <c r="E553" s="3" t="s">
        <v>10</v>
      </c>
      <c r="F553" s="3" t="s">
        <v>11</v>
      </c>
      <c r="G553" s="3">
        <v>3838.19</v>
      </c>
      <c r="H553" s="3">
        <v>3288.4</v>
      </c>
      <c r="I553" s="3" t="s">
        <v>37</v>
      </c>
      <c r="J553" s="3">
        <v>7</v>
      </c>
      <c r="K553" s="5">
        <f>actual_vs_target_sales_dataset[[#This Row],[Sales_ Amount]]/actual_vs_target_sales_dataset[[#This Row],[Sales_Target]]</f>
        <v>1.1671907310546161</v>
      </c>
    </row>
    <row r="554" spans="1:11" x14ac:dyDescent="0.3">
      <c r="A554" s="2">
        <v>45114</v>
      </c>
      <c r="B554" s="3" t="s">
        <v>17</v>
      </c>
      <c r="C554" s="3" t="s">
        <v>14</v>
      </c>
      <c r="D554" s="3" t="s">
        <v>15</v>
      </c>
      <c r="E554" s="3" t="s">
        <v>19</v>
      </c>
      <c r="F554" s="3" t="s">
        <v>16</v>
      </c>
      <c r="G554" s="3">
        <v>-3588.39</v>
      </c>
      <c r="H554" s="3">
        <v>-3853.13</v>
      </c>
      <c r="I554" s="3" t="s">
        <v>37</v>
      </c>
      <c r="J554" s="3">
        <v>7</v>
      </c>
      <c r="K554" s="5">
        <f>actual_vs_target_sales_dataset[[#This Row],[Sales_ Amount]]/actual_vs_target_sales_dataset[[#This Row],[Sales_Target]]</f>
        <v>0.93129222216743268</v>
      </c>
    </row>
    <row r="555" spans="1:11" x14ac:dyDescent="0.3">
      <c r="A555" s="2">
        <v>45115</v>
      </c>
      <c r="B555" s="3" t="s">
        <v>7</v>
      </c>
      <c r="C555" s="3" t="s">
        <v>8</v>
      </c>
      <c r="D555" s="3" t="s">
        <v>18</v>
      </c>
      <c r="E555" s="3" t="s">
        <v>10</v>
      </c>
      <c r="F555" s="3" t="s">
        <v>16</v>
      </c>
      <c r="G555" s="3">
        <v>12618</v>
      </c>
      <c r="H555" s="3">
        <v>12824.76</v>
      </c>
      <c r="I555" s="3" t="s">
        <v>37</v>
      </c>
      <c r="J555" s="3">
        <v>7</v>
      </c>
      <c r="K555" s="5">
        <f>actual_vs_target_sales_dataset[[#This Row],[Sales_ Amount]]/actual_vs_target_sales_dataset[[#This Row],[Sales_Target]]</f>
        <v>0.98387806087599294</v>
      </c>
    </row>
    <row r="556" spans="1:11" x14ac:dyDescent="0.3">
      <c r="A556" s="2">
        <v>45116</v>
      </c>
      <c r="B556" s="3" t="s">
        <v>20</v>
      </c>
      <c r="C556" s="3" t="s">
        <v>22</v>
      </c>
      <c r="D556" s="3" t="s">
        <v>18</v>
      </c>
      <c r="E556" s="3" t="s">
        <v>10</v>
      </c>
      <c r="F556" s="3" t="s">
        <v>28</v>
      </c>
      <c r="G556" s="3">
        <v>10763.15</v>
      </c>
      <c r="H556" s="3">
        <v>10138.799999999999</v>
      </c>
      <c r="I556" s="3" t="s">
        <v>37</v>
      </c>
      <c r="J556" s="3">
        <v>7</v>
      </c>
      <c r="K556" s="5">
        <f>actual_vs_target_sales_dataset[[#This Row],[Sales_ Amount]]/actual_vs_target_sales_dataset[[#This Row],[Sales_Target]]</f>
        <v>1.0615802659091806</v>
      </c>
    </row>
    <row r="557" spans="1:11" x14ac:dyDescent="0.3">
      <c r="A557" s="2">
        <v>45117</v>
      </c>
      <c r="B557" s="3" t="s">
        <v>20</v>
      </c>
      <c r="C557" s="3" t="s">
        <v>14</v>
      </c>
      <c r="D557" s="3" t="s">
        <v>24</v>
      </c>
      <c r="E557" s="3" t="s">
        <v>10</v>
      </c>
      <c r="F557" s="3" t="s">
        <v>26</v>
      </c>
      <c r="G557" s="3">
        <v>15669.09</v>
      </c>
      <c r="H557" s="3">
        <v>15024.76</v>
      </c>
      <c r="I557" s="3" t="s">
        <v>37</v>
      </c>
      <c r="J557" s="3">
        <v>7</v>
      </c>
      <c r="K557" s="5">
        <f>actual_vs_target_sales_dataset[[#This Row],[Sales_ Amount]]/actual_vs_target_sales_dataset[[#This Row],[Sales_Target]]</f>
        <v>1.0428845452439839</v>
      </c>
    </row>
    <row r="558" spans="1:11" x14ac:dyDescent="0.3">
      <c r="A558" s="2">
        <v>45118</v>
      </c>
      <c r="B558" s="3" t="s">
        <v>23</v>
      </c>
      <c r="C558" s="3" t="s">
        <v>14</v>
      </c>
      <c r="D558" s="3" t="s">
        <v>9</v>
      </c>
      <c r="E558" s="3" t="s">
        <v>19</v>
      </c>
      <c r="F558" s="3" t="s">
        <v>11</v>
      </c>
      <c r="G558" s="3">
        <v>17054.37</v>
      </c>
      <c r="H558" s="3">
        <v>17263.990000000002</v>
      </c>
      <c r="I558" s="3" t="s">
        <v>37</v>
      </c>
      <c r="J558" s="3">
        <v>7</v>
      </c>
      <c r="K558" s="5">
        <f>actual_vs_target_sales_dataset[[#This Row],[Sales_ Amount]]/actual_vs_target_sales_dataset[[#This Row],[Sales_Target]]</f>
        <v>0.98785796330975617</v>
      </c>
    </row>
    <row r="559" spans="1:11" x14ac:dyDescent="0.3">
      <c r="A559" s="2">
        <v>45119</v>
      </c>
      <c r="B559" s="3" t="s">
        <v>13</v>
      </c>
      <c r="C559" s="3" t="s">
        <v>8</v>
      </c>
      <c r="D559" s="3" t="s">
        <v>24</v>
      </c>
      <c r="E559" s="3" t="s">
        <v>21</v>
      </c>
      <c r="F559" s="3" t="s">
        <v>11</v>
      </c>
      <c r="G559" s="3">
        <v>8667.8700000000008</v>
      </c>
      <c r="H559" s="3">
        <v>9490.18</v>
      </c>
      <c r="I559" s="3" t="s">
        <v>37</v>
      </c>
      <c r="J559" s="3">
        <v>7</v>
      </c>
      <c r="K559" s="5">
        <f>actual_vs_target_sales_dataset[[#This Row],[Sales_ Amount]]/actual_vs_target_sales_dataset[[#This Row],[Sales_Target]]</f>
        <v>0.91335148543020261</v>
      </c>
    </row>
    <row r="560" spans="1:11" x14ac:dyDescent="0.3">
      <c r="A560" s="2">
        <v>45120</v>
      </c>
      <c r="B560" s="3" t="s">
        <v>13</v>
      </c>
      <c r="C560" s="3" t="s">
        <v>14</v>
      </c>
      <c r="D560" s="3" t="s">
        <v>24</v>
      </c>
      <c r="E560" s="3" t="s">
        <v>21</v>
      </c>
      <c r="F560" s="3" t="s">
        <v>29</v>
      </c>
      <c r="G560" s="3">
        <v>5184.66</v>
      </c>
      <c r="H560" s="3">
        <v>5010.13</v>
      </c>
      <c r="I560" s="3" t="s">
        <v>37</v>
      </c>
      <c r="J560" s="3">
        <v>7</v>
      </c>
      <c r="K560" s="5">
        <f>actual_vs_target_sales_dataset[[#This Row],[Sales_ Amount]]/actual_vs_target_sales_dataset[[#This Row],[Sales_Target]]</f>
        <v>1.0348354234321264</v>
      </c>
    </row>
    <row r="561" spans="1:11" x14ac:dyDescent="0.3">
      <c r="A561" s="2">
        <v>45121</v>
      </c>
      <c r="B561" s="3" t="s">
        <v>20</v>
      </c>
      <c r="C561" s="3" t="s">
        <v>25</v>
      </c>
      <c r="D561" s="3" t="s">
        <v>9</v>
      </c>
      <c r="E561" s="3" t="s">
        <v>10</v>
      </c>
      <c r="F561" s="3" t="s">
        <v>26</v>
      </c>
      <c r="G561" s="3">
        <v>3850.06</v>
      </c>
      <c r="H561" s="3">
        <v>3886.03</v>
      </c>
      <c r="I561" s="3" t="s">
        <v>37</v>
      </c>
      <c r="J561" s="3">
        <v>7</v>
      </c>
      <c r="K561" s="5">
        <f>actual_vs_target_sales_dataset[[#This Row],[Sales_ Amount]]/actual_vs_target_sales_dataset[[#This Row],[Sales_Target]]</f>
        <v>0.99074376677483178</v>
      </c>
    </row>
    <row r="562" spans="1:11" x14ac:dyDescent="0.3">
      <c r="A562" s="2">
        <v>45122</v>
      </c>
      <c r="B562" s="3" t="s">
        <v>17</v>
      </c>
      <c r="C562" s="3" t="s">
        <v>25</v>
      </c>
      <c r="D562" s="3" t="s">
        <v>24</v>
      </c>
      <c r="E562" s="3" t="s">
        <v>21</v>
      </c>
      <c r="F562" s="3" t="s">
        <v>31</v>
      </c>
      <c r="G562" s="3">
        <v>-1738.51</v>
      </c>
      <c r="H562" s="3">
        <v>-1736.13</v>
      </c>
      <c r="I562" s="3" t="s">
        <v>37</v>
      </c>
      <c r="J562" s="3">
        <v>7</v>
      </c>
      <c r="K562" s="5">
        <f>actual_vs_target_sales_dataset[[#This Row],[Sales_ Amount]]/actual_vs_target_sales_dataset[[#This Row],[Sales_Target]]</f>
        <v>1.0013708650849877</v>
      </c>
    </row>
    <row r="563" spans="1:11" x14ac:dyDescent="0.3">
      <c r="A563" s="2">
        <v>45123</v>
      </c>
      <c r="B563" s="3" t="s">
        <v>13</v>
      </c>
      <c r="C563" s="3" t="s">
        <v>22</v>
      </c>
      <c r="D563" s="3" t="s">
        <v>15</v>
      </c>
      <c r="E563" s="3" t="s">
        <v>19</v>
      </c>
      <c r="F563" s="3" t="s">
        <v>31</v>
      </c>
      <c r="G563" s="3">
        <v>17600</v>
      </c>
      <c r="H563" s="3">
        <v>16479.13</v>
      </c>
      <c r="I563" s="3" t="s">
        <v>37</v>
      </c>
      <c r="J563" s="3">
        <v>7</v>
      </c>
      <c r="K563" s="5">
        <f>actual_vs_target_sales_dataset[[#This Row],[Sales_ Amount]]/actual_vs_target_sales_dataset[[#This Row],[Sales_Target]]</f>
        <v>1.0680175470428352</v>
      </c>
    </row>
    <row r="564" spans="1:11" x14ac:dyDescent="0.3">
      <c r="A564" s="2">
        <v>45124</v>
      </c>
      <c r="B564" s="3" t="s">
        <v>17</v>
      </c>
      <c r="C564" s="3" t="s">
        <v>22</v>
      </c>
      <c r="D564" s="3" t="s">
        <v>18</v>
      </c>
      <c r="E564" s="3" t="s">
        <v>21</v>
      </c>
      <c r="F564" s="3" t="s">
        <v>27</v>
      </c>
      <c r="G564" s="3">
        <v>1668.88</v>
      </c>
      <c r="H564" s="3">
        <v>1588.07</v>
      </c>
      <c r="I564" s="3" t="s">
        <v>37</v>
      </c>
      <c r="J564" s="3">
        <v>7</v>
      </c>
      <c r="K564" s="5">
        <f>actual_vs_target_sales_dataset[[#This Row],[Sales_ Amount]]/actual_vs_target_sales_dataset[[#This Row],[Sales_Target]]</f>
        <v>1.050885666248969</v>
      </c>
    </row>
    <row r="565" spans="1:11" x14ac:dyDescent="0.3">
      <c r="A565" s="2">
        <v>45125</v>
      </c>
      <c r="B565" s="3" t="s">
        <v>23</v>
      </c>
      <c r="C565" s="3" t="s">
        <v>22</v>
      </c>
      <c r="D565" s="3" t="s">
        <v>15</v>
      </c>
      <c r="E565" s="3" t="s">
        <v>10</v>
      </c>
      <c r="F565" s="3" t="s">
        <v>27</v>
      </c>
      <c r="G565" s="3">
        <v>5868.76</v>
      </c>
      <c r="H565" s="3">
        <v>6631.71</v>
      </c>
      <c r="I565" s="3" t="s">
        <v>37</v>
      </c>
      <c r="J565" s="3">
        <v>7</v>
      </c>
      <c r="K565" s="5">
        <f>actual_vs_target_sales_dataset[[#This Row],[Sales_ Amount]]/actual_vs_target_sales_dataset[[#This Row],[Sales_Target]]</f>
        <v>0.8849542576499877</v>
      </c>
    </row>
    <row r="566" spans="1:11" x14ac:dyDescent="0.3">
      <c r="A566" s="2">
        <v>45126</v>
      </c>
      <c r="B566" s="3" t="s">
        <v>17</v>
      </c>
      <c r="C566" s="3" t="s">
        <v>25</v>
      </c>
      <c r="D566" s="3" t="s">
        <v>18</v>
      </c>
      <c r="E566" s="3" t="s">
        <v>21</v>
      </c>
      <c r="F566" s="3" t="s">
        <v>26</v>
      </c>
      <c r="G566" s="3">
        <v>20645.61</v>
      </c>
      <c r="H566" s="3">
        <v>20508.009999999998</v>
      </c>
      <c r="I566" s="3" t="s">
        <v>37</v>
      </c>
      <c r="J566" s="3">
        <v>7</v>
      </c>
      <c r="K566" s="5">
        <f>actual_vs_target_sales_dataset[[#This Row],[Sales_ Amount]]/actual_vs_target_sales_dataset[[#This Row],[Sales_Target]]</f>
        <v>1.0067095734788505</v>
      </c>
    </row>
    <row r="567" spans="1:11" x14ac:dyDescent="0.3">
      <c r="A567" s="2">
        <v>45127</v>
      </c>
      <c r="B567" s="3" t="s">
        <v>17</v>
      </c>
      <c r="C567" s="3" t="s">
        <v>22</v>
      </c>
      <c r="D567" s="3" t="s">
        <v>18</v>
      </c>
      <c r="E567" s="3" t="s">
        <v>10</v>
      </c>
      <c r="F567" s="3" t="s">
        <v>30</v>
      </c>
      <c r="G567" s="3">
        <v>-1963.31</v>
      </c>
      <c r="H567" s="3">
        <v>-1932.08</v>
      </c>
      <c r="I567" s="3" t="s">
        <v>37</v>
      </c>
      <c r="J567" s="3">
        <v>7</v>
      </c>
      <c r="K567" s="5">
        <f>actual_vs_target_sales_dataset[[#This Row],[Sales_ Amount]]/actual_vs_target_sales_dataset[[#This Row],[Sales_Target]]</f>
        <v>1.0161639269595462</v>
      </c>
    </row>
    <row r="568" spans="1:11" x14ac:dyDescent="0.3">
      <c r="A568" s="2">
        <v>45128</v>
      </c>
      <c r="B568" s="3" t="s">
        <v>17</v>
      </c>
      <c r="C568" s="3" t="s">
        <v>8</v>
      </c>
      <c r="D568" s="3" t="s">
        <v>15</v>
      </c>
      <c r="E568" s="3" t="s">
        <v>10</v>
      </c>
      <c r="F568" s="3" t="s">
        <v>26</v>
      </c>
      <c r="G568" s="3">
        <v>-5927.99</v>
      </c>
      <c r="H568" s="3">
        <v>-5522.51</v>
      </c>
      <c r="I568" s="3" t="s">
        <v>37</v>
      </c>
      <c r="J568" s="3">
        <v>7</v>
      </c>
      <c r="K568" s="5">
        <f>actual_vs_target_sales_dataset[[#This Row],[Sales_ Amount]]/actual_vs_target_sales_dataset[[#This Row],[Sales_Target]]</f>
        <v>1.0734231354945485</v>
      </c>
    </row>
    <row r="569" spans="1:11" x14ac:dyDescent="0.3">
      <c r="A569" s="2">
        <v>45129</v>
      </c>
      <c r="B569" s="3" t="s">
        <v>20</v>
      </c>
      <c r="C569" s="3" t="s">
        <v>22</v>
      </c>
      <c r="D569" s="3" t="s">
        <v>15</v>
      </c>
      <c r="E569" s="3" t="s">
        <v>10</v>
      </c>
      <c r="F569" s="3" t="s">
        <v>31</v>
      </c>
      <c r="G569" s="3">
        <v>12466.35</v>
      </c>
      <c r="H569" s="3">
        <v>11671.57</v>
      </c>
      <c r="I569" s="3" t="s">
        <v>37</v>
      </c>
      <c r="J569" s="3">
        <v>7</v>
      </c>
      <c r="K569" s="5">
        <f>actual_vs_target_sales_dataset[[#This Row],[Sales_ Amount]]/actual_vs_target_sales_dataset[[#This Row],[Sales_Target]]</f>
        <v>1.0680953804843736</v>
      </c>
    </row>
    <row r="570" spans="1:11" x14ac:dyDescent="0.3">
      <c r="A570" s="2">
        <v>45130</v>
      </c>
      <c r="B570" s="3" t="s">
        <v>7</v>
      </c>
      <c r="C570" s="3" t="s">
        <v>14</v>
      </c>
      <c r="D570" s="3" t="s">
        <v>15</v>
      </c>
      <c r="E570" s="3" t="s">
        <v>21</v>
      </c>
      <c r="F570" s="3" t="s">
        <v>26</v>
      </c>
      <c r="G570" s="3">
        <v>10967.48</v>
      </c>
      <c r="H570" s="3">
        <v>10892.77</v>
      </c>
      <c r="I570" s="3" t="s">
        <v>37</v>
      </c>
      <c r="J570" s="3">
        <v>7</v>
      </c>
      <c r="K570" s="5">
        <f>actual_vs_target_sales_dataset[[#This Row],[Sales_ Amount]]/actual_vs_target_sales_dataset[[#This Row],[Sales_Target]]</f>
        <v>1.0068586778202422</v>
      </c>
    </row>
    <row r="571" spans="1:11" x14ac:dyDescent="0.3">
      <c r="A571" s="2">
        <v>45131</v>
      </c>
      <c r="B571" s="3" t="s">
        <v>7</v>
      </c>
      <c r="C571" s="3" t="s">
        <v>22</v>
      </c>
      <c r="D571" s="3" t="s">
        <v>9</v>
      </c>
      <c r="E571" s="3" t="s">
        <v>19</v>
      </c>
      <c r="F571" s="3" t="s">
        <v>11</v>
      </c>
      <c r="G571" s="3">
        <v>-1691.13</v>
      </c>
      <c r="H571" s="3">
        <v>-1552.95</v>
      </c>
      <c r="I571" s="3" t="s">
        <v>37</v>
      </c>
      <c r="J571" s="3">
        <v>7</v>
      </c>
      <c r="K571" s="5">
        <f>actual_vs_target_sales_dataset[[#This Row],[Sales_ Amount]]/actual_vs_target_sales_dataset[[#This Row],[Sales_Target]]</f>
        <v>1.0889790398918189</v>
      </c>
    </row>
    <row r="572" spans="1:11" x14ac:dyDescent="0.3">
      <c r="A572" s="2">
        <v>45132</v>
      </c>
      <c r="B572" s="3" t="s">
        <v>23</v>
      </c>
      <c r="C572" s="3" t="s">
        <v>25</v>
      </c>
      <c r="D572" s="3" t="s">
        <v>18</v>
      </c>
      <c r="E572" s="3" t="s">
        <v>21</v>
      </c>
      <c r="F572" s="3" t="s">
        <v>16</v>
      </c>
      <c r="G572" s="3">
        <v>19691.7</v>
      </c>
      <c r="H572" s="3">
        <v>19352.34</v>
      </c>
      <c r="I572" s="3" t="s">
        <v>37</v>
      </c>
      <c r="J572" s="3">
        <v>7</v>
      </c>
      <c r="K572" s="5">
        <f>actual_vs_target_sales_dataset[[#This Row],[Sales_ Amount]]/actual_vs_target_sales_dataset[[#This Row],[Sales_Target]]</f>
        <v>1.0175358638800269</v>
      </c>
    </row>
    <row r="573" spans="1:11" x14ac:dyDescent="0.3">
      <c r="A573" s="2">
        <v>45133</v>
      </c>
      <c r="B573" s="3" t="s">
        <v>17</v>
      </c>
      <c r="C573" s="3" t="s">
        <v>25</v>
      </c>
      <c r="D573" s="3" t="s">
        <v>9</v>
      </c>
      <c r="E573" s="3" t="s">
        <v>21</v>
      </c>
      <c r="F573" s="3" t="s">
        <v>11</v>
      </c>
      <c r="G573" s="3">
        <v>7253.06</v>
      </c>
      <c r="H573" s="3">
        <v>7326.23</v>
      </c>
      <c r="I573" s="3" t="s">
        <v>37</v>
      </c>
      <c r="J573" s="3">
        <v>7</v>
      </c>
      <c r="K573" s="5">
        <f>actual_vs_target_sales_dataset[[#This Row],[Sales_ Amount]]/actual_vs_target_sales_dataset[[#This Row],[Sales_Target]]</f>
        <v>0.99001259856706669</v>
      </c>
    </row>
    <row r="574" spans="1:11" x14ac:dyDescent="0.3">
      <c r="A574" s="2">
        <v>45134</v>
      </c>
      <c r="B574" s="3" t="s">
        <v>20</v>
      </c>
      <c r="C574" s="3" t="s">
        <v>8</v>
      </c>
      <c r="D574" s="3" t="s">
        <v>24</v>
      </c>
      <c r="E574" s="3" t="s">
        <v>10</v>
      </c>
      <c r="F574" s="3" t="s">
        <v>26</v>
      </c>
      <c r="G574" s="3">
        <v>17961.75</v>
      </c>
      <c r="H574" s="3">
        <v>15591.4</v>
      </c>
      <c r="I574" s="3" t="s">
        <v>37</v>
      </c>
      <c r="J574" s="3">
        <v>7</v>
      </c>
      <c r="K574" s="5">
        <f>actual_vs_target_sales_dataset[[#This Row],[Sales_ Amount]]/actual_vs_target_sales_dataset[[#This Row],[Sales_Target]]</f>
        <v>1.1520293238580244</v>
      </c>
    </row>
    <row r="575" spans="1:11" x14ac:dyDescent="0.3">
      <c r="A575" s="2">
        <v>45135</v>
      </c>
      <c r="B575" s="3" t="s">
        <v>23</v>
      </c>
      <c r="C575" s="3" t="s">
        <v>14</v>
      </c>
      <c r="D575" s="3" t="s">
        <v>18</v>
      </c>
      <c r="E575" s="3" t="s">
        <v>10</v>
      </c>
      <c r="F575" s="3" t="s">
        <v>16</v>
      </c>
      <c r="G575" s="3">
        <v>6527.79</v>
      </c>
      <c r="H575" s="3">
        <v>6284.91</v>
      </c>
      <c r="I575" s="3" t="s">
        <v>37</v>
      </c>
      <c r="J575" s="3">
        <v>7</v>
      </c>
      <c r="K575" s="5">
        <f>actual_vs_target_sales_dataset[[#This Row],[Sales_ Amount]]/actual_vs_target_sales_dataset[[#This Row],[Sales_Target]]</f>
        <v>1.0386449447963455</v>
      </c>
    </row>
    <row r="576" spans="1:11" x14ac:dyDescent="0.3">
      <c r="A576" s="2">
        <v>45136</v>
      </c>
      <c r="B576" s="3" t="s">
        <v>23</v>
      </c>
      <c r="C576" s="3" t="s">
        <v>14</v>
      </c>
      <c r="D576" s="3" t="s">
        <v>9</v>
      </c>
      <c r="E576" s="3" t="s">
        <v>21</v>
      </c>
      <c r="F576" s="3" t="s">
        <v>29</v>
      </c>
      <c r="G576" s="3">
        <v>14110.42</v>
      </c>
      <c r="H576" s="3">
        <v>11788.61</v>
      </c>
      <c r="I576" s="3" t="s">
        <v>37</v>
      </c>
      <c r="J576" s="3">
        <v>7</v>
      </c>
      <c r="K576" s="5">
        <f>actual_vs_target_sales_dataset[[#This Row],[Sales_ Amount]]/actual_vs_target_sales_dataset[[#This Row],[Sales_Target]]</f>
        <v>1.1969536696862479</v>
      </c>
    </row>
    <row r="577" spans="1:11" x14ac:dyDescent="0.3">
      <c r="A577" s="2">
        <v>45137</v>
      </c>
      <c r="B577" s="3" t="s">
        <v>7</v>
      </c>
      <c r="C577" s="3" t="s">
        <v>8</v>
      </c>
      <c r="D577" s="3" t="s">
        <v>18</v>
      </c>
      <c r="E577" s="3" t="s">
        <v>19</v>
      </c>
      <c r="F577" s="3" t="s">
        <v>28</v>
      </c>
      <c r="G577" s="3">
        <v>11691.54</v>
      </c>
      <c r="H577" s="3">
        <v>12429.1</v>
      </c>
      <c r="I577" s="3" t="s">
        <v>37</v>
      </c>
      <c r="J577" s="3">
        <v>7</v>
      </c>
      <c r="K577" s="5">
        <f>actual_vs_target_sales_dataset[[#This Row],[Sales_ Amount]]/actual_vs_target_sales_dataset[[#This Row],[Sales_Target]]</f>
        <v>0.9406586156680693</v>
      </c>
    </row>
    <row r="578" spans="1:11" x14ac:dyDescent="0.3">
      <c r="A578" s="2">
        <v>45138</v>
      </c>
      <c r="B578" s="3" t="s">
        <v>7</v>
      </c>
      <c r="C578" s="3" t="s">
        <v>22</v>
      </c>
      <c r="D578" s="3" t="s">
        <v>9</v>
      </c>
      <c r="E578" s="3" t="s">
        <v>21</v>
      </c>
      <c r="F578" s="3" t="s">
        <v>29</v>
      </c>
      <c r="G578" s="3">
        <v>5169.6400000000003</v>
      </c>
      <c r="H578" s="3">
        <v>5437.08</v>
      </c>
      <c r="I578" s="3" t="s">
        <v>37</v>
      </c>
      <c r="J578" s="3">
        <v>7</v>
      </c>
      <c r="K578" s="5">
        <f>actual_vs_target_sales_dataset[[#This Row],[Sales_ Amount]]/actual_vs_target_sales_dataset[[#This Row],[Sales_Target]]</f>
        <v>0.95081183282202952</v>
      </c>
    </row>
    <row r="579" spans="1:11" x14ac:dyDescent="0.3">
      <c r="A579" s="2">
        <v>45139</v>
      </c>
      <c r="B579" s="3" t="s">
        <v>20</v>
      </c>
      <c r="C579" s="3" t="s">
        <v>14</v>
      </c>
      <c r="D579" s="3" t="s">
        <v>15</v>
      </c>
      <c r="E579" s="3" t="s">
        <v>10</v>
      </c>
      <c r="F579" s="3" t="s">
        <v>11</v>
      </c>
      <c r="G579" s="3">
        <v>7335.85</v>
      </c>
      <c r="H579" s="3">
        <v>8512.0400000000009</v>
      </c>
      <c r="I579" s="3" t="s">
        <v>38</v>
      </c>
      <c r="J579" s="3">
        <v>8</v>
      </c>
      <c r="K579" s="5">
        <f>actual_vs_target_sales_dataset[[#This Row],[Sales_ Amount]]/actual_vs_target_sales_dataset[[#This Row],[Sales_Target]]</f>
        <v>0.86182043317465606</v>
      </c>
    </row>
    <row r="580" spans="1:11" x14ac:dyDescent="0.3">
      <c r="A580" s="2">
        <v>45140</v>
      </c>
      <c r="B580" s="3" t="s">
        <v>23</v>
      </c>
      <c r="C580" s="3" t="s">
        <v>22</v>
      </c>
      <c r="D580" s="3" t="s">
        <v>24</v>
      </c>
      <c r="E580" s="3" t="s">
        <v>19</v>
      </c>
      <c r="F580" s="3" t="s">
        <v>28</v>
      </c>
      <c r="G580" s="3">
        <v>10607.14</v>
      </c>
      <c r="H580" s="3">
        <v>11432.78</v>
      </c>
      <c r="I580" s="3" t="s">
        <v>38</v>
      </c>
      <c r="J580" s="3">
        <v>8</v>
      </c>
      <c r="K580" s="5">
        <f>actual_vs_target_sales_dataset[[#This Row],[Sales_ Amount]]/actual_vs_target_sales_dataset[[#This Row],[Sales_Target]]</f>
        <v>0.92778309387568014</v>
      </c>
    </row>
    <row r="581" spans="1:11" x14ac:dyDescent="0.3">
      <c r="A581" s="2">
        <v>45141</v>
      </c>
      <c r="B581" s="3" t="s">
        <v>7</v>
      </c>
      <c r="C581" s="3" t="s">
        <v>8</v>
      </c>
      <c r="D581" s="3" t="s">
        <v>9</v>
      </c>
      <c r="E581" s="3" t="s">
        <v>19</v>
      </c>
      <c r="F581" s="3" t="s">
        <v>29</v>
      </c>
      <c r="G581" s="3">
        <v>9129.31</v>
      </c>
      <c r="H581" s="3">
        <v>7750.7</v>
      </c>
      <c r="I581" s="3" t="s">
        <v>38</v>
      </c>
      <c r="J581" s="3">
        <v>8</v>
      </c>
      <c r="K581" s="5">
        <f>actual_vs_target_sales_dataset[[#This Row],[Sales_ Amount]]/actual_vs_target_sales_dataset[[#This Row],[Sales_Target]]</f>
        <v>1.1778690956945823</v>
      </c>
    </row>
    <row r="582" spans="1:11" x14ac:dyDescent="0.3">
      <c r="A582" s="2">
        <v>45142</v>
      </c>
      <c r="B582" s="3" t="s">
        <v>13</v>
      </c>
      <c r="C582" s="3" t="s">
        <v>8</v>
      </c>
      <c r="D582" s="3" t="s">
        <v>24</v>
      </c>
      <c r="E582" s="3" t="s">
        <v>10</v>
      </c>
      <c r="F582" s="3" t="s">
        <v>30</v>
      </c>
      <c r="G582" s="3">
        <v>15779.53</v>
      </c>
      <c r="H582" s="3">
        <v>15370.13</v>
      </c>
      <c r="I582" s="3" t="s">
        <v>38</v>
      </c>
      <c r="J582" s="3">
        <v>8</v>
      </c>
      <c r="K582" s="5">
        <f>actual_vs_target_sales_dataset[[#This Row],[Sales_ Amount]]/actual_vs_target_sales_dataset[[#This Row],[Sales_Target]]</f>
        <v>1.0266360792003713</v>
      </c>
    </row>
    <row r="583" spans="1:11" x14ac:dyDescent="0.3">
      <c r="A583" s="2">
        <v>45143</v>
      </c>
      <c r="B583" s="3" t="s">
        <v>7</v>
      </c>
      <c r="C583" s="3" t="s">
        <v>22</v>
      </c>
      <c r="D583" s="3" t="s">
        <v>15</v>
      </c>
      <c r="E583" s="3" t="s">
        <v>21</v>
      </c>
      <c r="F583" s="3" t="s">
        <v>11</v>
      </c>
      <c r="G583" s="3">
        <v>10926.34</v>
      </c>
      <c r="H583" s="3">
        <v>9310.39</v>
      </c>
      <c r="I583" s="3" t="s">
        <v>38</v>
      </c>
      <c r="J583" s="3">
        <v>8</v>
      </c>
      <c r="K583" s="5">
        <f>actual_vs_target_sales_dataset[[#This Row],[Sales_ Amount]]/actual_vs_target_sales_dataset[[#This Row],[Sales_Target]]</f>
        <v>1.1735641578924192</v>
      </c>
    </row>
    <row r="584" spans="1:11" x14ac:dyDescent="0.3">
      <c r="A584" s="2">
        <v>45144</v>
      </c>
      <c r="B584" s="3" t="s">
        <v>23</v>
      </c>
      <c r="C584" s="3" t="s">
        <v>22</v>
      </c>
      <c r="D584" s="3" t="s">
        <v>15</v>
      </c>
      <c r="E584" s="3" t="s">
        <v>21</v>
      </c>
      <c r="F584" s="3" t="s">
        <v>28</v>
      </c>
      <c r="G584" s="3">
        <v>-2739.11</v>
      </c>
      <c r="H584" s="3">
        <v>-2746.21</v>
      </c>
      <c r="I584" s="3" t="s">
        <v>38</v>
      </c>
      <c r="J584" s="3">
        <v>8</v>
      </c>
      <c r="K584" s="5">
        <f>actual_vs_target_sales_dataset[[#This Row],[Sales_ Amount]]/actual_vs_target_sales_dataset[[#This Row],[Sales_Target]]</f>
        <v>0.99741461869267101</v>
      </c>
    </row>
    <row r="585" spans="1:11" x14ac:dyDescent="0.3">
      <c r="A585" s="2">
        <v>45145</v>
      </c>
      <c r="B585" s="3" t="s">
        <v>7</v>
      </c>
      <c r="C585" s="3" t="s">
        <v>25</v>
      </c>
      <c r="D585" s="3" t="s">
        <v>9</v>
      </c>
      <c r="E585" s="3" t="s">
        <v>19</v>
      </c>
      <c r="F585" s="3" t="s">
        <v>26</v>
      </c>
      <c r="G585" s="3">
        <v>5692.91</v>
      </c>
      <c r="H585" s="3">
        <v>4990.53</v>
      </c>
      <c r="I585" s="3" t="s">
        <v>38</v>
      </c>
      <c r="J585" s="3">
        <v>8</v>
      </c>
      <c r="K585" s="5">
        <f>actual_vs_target_sales_dataset[[#This Row],[Sales_ Amount]]/actual_vs_target_sales_dataset[[#This Row],[Sales_Target]]</f>
        <v>1.1407425664208011</v>
      </c>
    </row>
    <row r="586" spans="1:11" x14ac:dyDescent="0.3">
      <c r="A586" s="2">
        <v>45146</v>
      </c>
      <c r="B586" s="3" t="s">
        <v>7</v>
      </c>
      <c r="C586" s="3" t="s">
        <v>8</v>
      </c>
      <c r="D586" s="3" t="s">
        <v>9</v>
      </c>
      <c r="E586" s="3" t="s">
        <v>10</v>
      </c>
      <c r="F586" s="3" t="s">
        <v>11</v>
      </c>
      <c r="G586" s="3">
        <v>6632.83</v>
      </c>
      <c r="H586" s="3">
        <v>7223.69</v>
      </c>
      <c r="I586" s="3" t="s">
        <v>38</v>
      </c>
      <c r="J586" s="3">
        <v>8</v>
      </c>
      <c r="K586" s="5">
        <f>actual_vs_target_sales_dataset[[#This Row],[Sales_ Amount]]/actual_vs_target_sales_dataset[[#This Row],[Sales_Target]]</f>
        <v>0.9182052385968944</v>
      </c>
    </row>
    <row r="587" spans="1:11" x14ac:dyDescent="0.3">
      <c r="A587" s="2">
        <v>45147</v>
      </c>
      <c r="B587" s="3" t="s">
        <v>13</v>
      </c>
      <c r="C587" s="3" t="s">
        <v>14</v>
      </c>
      <c r="D587" s="3" t="s">
        <v>9</v>
      </c>
      <c r="E587" s="3" t="s">
        <v>21</v>
      </c>
      <c r="F587" s="3" t="s">
        <v>27</v>
      </c>
      <c r="G587" s="3">
        <v>8216.02</v>
      </c>
      <c r="H587" s="3">
        <v>8171.52</v>
      </c>
      <c r="I587" s="3" t="s">
        <v>38</v>
      </c>
      <c r="J587" s="3">
        <v>8</v>
      </c>
      <c r="K587" s="5">
        <f>actual_vs_target_sales_dataset[[#This Row],[Sales_ Amount]]/actual_vs_target_sales_dataset[[#This Row],[Sales_Target]]</f>
        <v>1.0054457432644111</v>
      </c>
    </row>
    <row r="588" spans="1:11" x14ac:dyDescent="0.3">
      <c r="A588" s="2">
        <v>45148</v>
      </c>
      <c r="B588" s="3" t="s">
        <v>7</v>
      </c>
      <c r="C588" s="3" t="s">
        <v>22</v>
      </c>
      <c r="D588" s="3" t="s">
        <v>15</v>
      </c>
      <c r="E588" s="3" t="s">
        <v>10</v>
      </c>
      <c r="F588" s="3" t="s">
        <v>16</v>
      </c>
      <c r="G588" s="3">
        <v>9730.26</v>
      </c>
      <c r="H588" s="3">
        <v>9587.82</v>
      </c>
      <c r="I588" s="3" t="s">
        <v>38</v>
      </c>
      <c r="J588" s="3">
        <v>8</v>
      </c>
      <c r="K588" s="5">
        <f>actual_vs_target_sales_dataset[[#This Row],[Sales_ Amount]]/actual_vs_target_sales_dataset[[#This Row],[Sales_Target]]</f>
        <v>1.0148563489927847</v>
      </c>
    </row>
    <row r="589" spans="1:11" x14ac:dyDescent="0.3">
      <c r="A589" s="2">
        <v>45149</v>
      </c>
      <c r="B589" s="3" t="s">
        <v>13</v>
      </c>
      <c r="C589" s="3" t="s">
        <v>14</v>
      </c>
      <c r="D589" s="3" t="s">
        <v>9</v>
      </c>
      <c r="E589" s="3" t="s">
        <v>21</v>
      </c>
      <c r="F589" s="3" t="s">
        <v>28</v>
      </c>
      <c r="G589" s="3">
        <v>9817.1200000000008</v>
      </c>
      <c r="H589" s="3">
        <v>8522.7800000000007</v>
      </c>
      <c r="I589" s="3" t="s">
        <v>38</v>
      </c>
      <c r="J589" s="3">
        <v>8</v>
      </c>
      <c r="K589" s="5">
        <f>actual_vs_target_sales_dataset[[#This Row],[Sales_ Amount]]/actual_vs_target_sales_dataset[[#This Row],[Sales_Target]]</f>
        <v>1.1518682871081971</v>
      </c>
    </row>
    <row r="590" spans="1:11" x14ac:dyDescent="0.3">
      <c r="A590" s="2">
        <v>45150</v>
      </c>
      <c r="B590" s="3" t="s">
        <v>7</v>
      </c>
      <c r="C590" s="3" t="s">
        <v>8</v>
      </c>
      <c r="D590" s="3" t="s">
        <v>15</v>
      </c>
      <c r="E590" s="3" t="s">
        <v>10</v>
      </c>
      <c r="F590" s="3" t="s">
        <v>30</v>
      </c>
      <c r="G590" s="3">
        <v>392.24</v>
      </c>
      <c r="H590" s="3">
        <v>394.37</v>
      </c>
      <c r="I590" s="3" t="s">
        <v>38</v>
      </c>
      <c r="J590" s="3">
        <v>8</v>
      </c>
      <c r="K590" s="5">
        <f>actual_vs_target_sales_dataset[[#This Row],[Sales_ Amount]]/actual_vs_target_sales_dataset[[#This Row],[Sales_Target]]</f>
        <v>0.99459898065268659</v>
      </c>
    </row>
    <row r="591" spans="1:11" x14ac:dyDescent="0.3">
      <c r="A591" s="2">
        <v>45151</v>
      </c>
      <c r="B591" s="3" t="s">
        <v>7</v>
      </c>
      <c r="C591" s="3" t="s">
        <v>22</v>
      </c>
      <c r="D591" s="3" t="s">
        <v>15</v>
      </c>
      <c r="E591" s="3" t="s">
        <v>10</v>
      </c>
      <c r="F591" s="3" t="s">
        <v>26</v>
      </c>
      <c r="G591" s="3">
        <v>4237.37</v>
      </c>
      <c r="H591" s="3">
        <v>4376.8999999999996</v>
      </c>
      <c r="I591" s="3" t="s">
        <v>38</v>
      </c>
      <c r="J591" s="3">
        <v>8</v>
      </c>
      <c r="K591" s="5">
        <f>actual_vs_target_sales_dataset[[#This Row],[Sales_ Amount]]/actual_vs_target_sales_dataset[[#This Row],[Sales_Target]]</f>
        <v>0.96812127304713391</v>
      </c>
    </row>
    <row r="592" spans="1:11" x14ac:dyDescent="0.3">
      <c r="A592" s="2">
        <v>45152</v>
      </c>
      <c r="B592" s="3" t="s">
        <v>23</v>
      </c>
      <c r="C592" s="3" t="s">
        <v>8</v>
      </c>
      <c r="D592" s="3" t="s">
        <v>18</v>
      </c>
      <c r="E592" s="3" t="s">
        <v>10</v>
      </c>
      <c r="F592" s="3" t="s">
        <v>26</v>
      </c>
      <c r="G592" s="3">
        <v>13987.17</v>
      </c>
      <c r="H592" s="3">
        <v>13064.35</v>
      </c>
      <c r="I592" s="3" t="s">
        <v>38</v>
      </c>
      <c r="J592" s="3">
        <v>8</v>
      </c>
      <c r="K592" s="5">
        <f>actual_vs_target_sales_dataset[[#This Row],[Sales_ Amount]]/actual_vs_target_sales_dataset[[#This Row],[Sales_Target]]</f>
        <v>1.0706365031555338</v>
      </c>
    </row>
    <row r="593" spans="1:11" x14ac:dyDescent="0.3">
      <c r="A593" s="2">
        <v>45153</v>
      </c>
      <c r="B593" s="3" t="s">
        <v>13</v>
      </c>
      <c r="C593" s="3" t="s">
        <v>22</v>
      </c>
      <c r="D593" s="3" t="s">
        <v>9</v>
      </c>
      <c r="E593" s="3" t="s">
        <v>10</v>
      </c>
      <c r="F593" s="3" t="s">
        <v>11</v>
      </c>
      <c r="G593" s="3">
        <v>10659.8</v>
      </c>
      <c r="H593" s="3">
        <v>11676.01</v>
      </c>
      <c r="I593" s="3" t="s">
        <v>38</v>
      </c>
      <c r="J593" s="3">
        <v>8</v>
      </c>
      <c r="K593" s="5">
        <f>actual_vs_target_sales_dataset[[#This Row],[Sales_ Amount]]/actual_vs_target_sales_dataset[[#This Row],[Sales_Target]]</f>
        <v>0.91296598752484792</v>
      </c>
    </row>
    <row r="594" spans="1:11" x14ac:dyDescent="0.3">
      <c r="A594" s="2">
        <v>45154</v>
      </c>
      <c r="B594" s="3" t="s">
        <v>7</v>
      </c>
      <c r="C594" s="3" t="s">
        <v>25</v>
      </c>
      <c r="D594" s="3" t="s">
        <v>24</v>
      </c>
      <c r="E594" s="3" t="s">
        <v>10</v>
      </c>
      <c r="F594" s="3" t="s">
        <v>27</v>
      </c>
      <c r="G594" s="3">
        <v>10473.68</v>
      </c>
      <c r="H594" s="3">
        <v>10342.93</v>
      </c>
      <c r="I594" s="3" t="s">
        <v>38</v>
      </c>
      <c r="J594" s="3">
        <v>8</v>
      </c>
      <c r="K594" s="5">
        <f>actual_vs_target_sales_dataset[[#This Row],[Sales_ Amount]]/actual_vs_target_sales_dataset[[#This Row],[Sales_Target]]</f>
        <v>1.0126414855364969</v>
      </c>
    </row>
    <row r="595" spans="1:11" x14ac:dyDescent="0.3">
      <c r="A595" s="2">
        <v>45155</v>
      </c>
      <c r="B595" s="3" t="s">
        <v>20</v>
      </c>
      <c r="C595" s="3" t="s">
        <v>14</v>
      </c>
      <c r="D595" s="3" t="s">
        <v>9</v>
      </c>
      <c r="E595" s="3" t="s">
        <v>21</v>
      </c>
      <c r="F595" s="3" t="s">
        <v>30</v>
      </c>
      <c r="G595" s="3">
        <v>11782.74</v>
      </c>
      <c r="H595" s="3">
        <v>12102.97</v>
      </c>
      <c r="I595" s="3" t="s">
        <v>38</v>
      </c>
      <c r="J595" s="3">
        <v>8</v>
      </c>
      <c r="K595" s="5">
        <f>actual_vs_target_sales_dataset[[#This Row],[Sales_ Amount]]/actual_vs_target_sales_dataset[[#This Row],[Sales_Target]]</f>
        <v>0.97354120517525866</v>
      </c>
    </row>
    <row r="596" spans="1:11" x14ac:dyDescent="0.3">
      <c r="A596" s="2">
        <v>45156</v>
      </c>
      <c r="B596" s="3" t="s">
        <v>17</v>
      </c>
      <c r="C596" s="3" t="s">
        <v>8</v>
      </c>
      <c r="D596" s="3" t="s">
        <v>15</v>
      </c>
      <c r="E596" s="3" t="s">
        <v>10</v>
      </c>
      <c r="F596" s="3" t="s">
        <v>16</v>
      </c>
      <c r="G596" s="3">
        <v>21877.47</v>
      </c>
      <c r="H596" s="3">
        <v>23914.48</v>
      </c>
      <c r="I596" s="3" t="s">
        <v>38</v>
      </c>
      <c r="J596" s="3">
        <v>8</v>
      </c>
      <c r="K596" s="5">
        <f>actual_vs_target_sales_dataset[[#This Row],[Sales_ Amount]]/actual_vs_target_sales_dataset[[#This Row],[Sales_Target]]</f>
        <v>0.91482106238563421</v>
      </c>
    </row>
    <row r="597" spans="1:11" x14ac:dyDescent="0.3">
      <c r="A597" s="2">
        <v>45157</v>
      </c>
      <c r="B597" s="3" t="s">
        <v>17</v>
      </c>
      <c r="C597" s="3" t="s">
        <v>8</v>
      </c>
      <c r="D597" s="3" t="s">
        <v>9</v>
      </c>
      <c r="E597" s="3" t="s">
        <v>21</v>
      </c>
      <c r="F597" s="3" t="s">
        <v>29</v>
      </c>
      <c r="G597" s="3">
        <v>10882.27</v>
      </c>
      <c r="H597" s="3">
        <v>10116.52</v>
      </c>
      <c r="I597" s="3" t="s">
        <v>38</v>
      </c>
      <c r="J597" s="3">
        <v>8</v>
      </c>
      <c r="K597" s="5">
        <f>actual_vs_target_sales_dataset[[#This Row],[Sales_ Amount]]/actual_vs_target_sales_dataset[[#This Row],[Sales_Target]]</f>
        <v>1.0756930248741663</v>
      </c>
    </row>
    <row r="598" spans="1:11" x14ac:dyDescent="0.3">
      <c r="A598" s="2">
        <v>45158</v>
      </c>
      <c r="B598" s="3" t="s">
        <v>17</v>
      </c>
      <c r="C598" s="3" t="s">
        <v>22</v>
      </c>
      <c r="D598" s="3" t="s">
        <v>18</v>
      </c>
      <c r="E598" s="3" t="s">
        <v>21</v>
      </c>
      <c r="F598" s="3" t="s">
        <v>28</v>
      </c>
      <c r="G598" s="3">
        <v>5756.19</v>
      </c>
      <c r="H598" s="3">
        <v>5237.17</v>
      </c>
      <c r="I598" s="3" t="s">
        <v>38</v>
      </c>
      <c r="J598" s="3">
        <v>8</v>
      </c>
      <c r="K598" s="5">
        <f>actual_vs_target_sales_dataset[[#This Row],[Sales_ Amount]]/actual_vs_target_sales_dataset[[#This Row],[Sales_Target]]</f>
        <v>1.0991031415821904</v>
      </c>
    </row>
    <row r="599" spans="1:11" x14ac:dyDescent="0.3">
      <c r="A599" s="2">
        <v>45159</v>
      </c>
      <c r="B599" s="3" t="s">
        <v>13</v>
      </c>
      <c r="C599" s="3" t="s">
        <v>22</v>
      </c>
      <c r="D599" s="3" t="s">
        <v>9</v>
      </c>
      <c r="E599" s="3" t="s">
        <v>10</v>
      </c>
      <c r="F599" s="3" t="s">
        <v>11</v>
      </c>
      <c r="G599" s="3">
        <v>3661.31</v>
      </c>
      <c r="H599" s="3">
        <v>3917.24</v>
      </c>
      <c r="I599" s="3" t="s">
        <v>38</v>
      </c>
      <c r="J599" s="3">
        <v>8</v>
      </c>
      <c r="K599" s="5">
        <f>actual_vs_target_sales_dataset[[#This Row],[Sales_ Amount]]/actual_vs_target_sales_dataset[[#This Row],[Sales_Target]]</f>
        <v>0.9346657340372303</v>
      </c>
    </row>
    <row r="600" spans="1:11" x14ac:dyDescent="0.3">
      <c r="A600" s="2">
        <v>45160</v>
      </c>
      <c r="B600" s="3" t="s">
        <v>13</v>
      </c>
      <c r="C600" s="3" t="s">
        <v>25</v>
      </c>
      <c r="D600" s="3" t="s">
        <v>18</v>
      </c>
      <c r="E600" s="3" t="s">
        <v>10</v>
      </c>
      <c r="F600" s="3" t="s">
        <v>31</v>
      </c>
      <c r="G600" s="3">
        <v>21976.54</v>
      </c>
      <c r="H600" s="3">
        <v>22828.47</v>
      </c>
      <c r="I600" s="3" t="s">
        <v>38</v>
      </c>
      <c r="J600" s="3">
        <v>8</v>
      </c>
      <c r="K600" s="5">
        <f>actual_vs_target_sales_dataset[[#This Row],[Sales_ Amount]]/actual_vs_target_sales_dataset[[#This Row],[Sales_Target]]</f>
        <v>0.96268124845861325</v>
      </c>
    </row>
    <row r="601" spans="1:11" x14ac:dyDescent="0.3">
      <c r="A601" s="2">
        <v>45161</v>
      </c>
      <c r="B601" s="3" t="s">
        <v>17</v>
      </c>
      <c r="C601" s="3" t="s">
        <v>22</v>
      </c>
      <c r="D601" s="3" t="s">
        <v>18</v>
      </c>
      <c r="E601" s="3" t="s">
        <v>19</v>
      </c>
      <c r="F601" s="3" t="s">
        <v>29</v>
      </c>
      <c r="G601" s="3">
        <v>8411.82</v>
      </c>
      <c r="H601" s="3">
        <v>8080.35</v>
      </c>
      <c r="I601" s="3" t="s">
        <v>38</v>
      </c>
      <c r="J601" s="3">
        <v>8</v>
      </c>
      <c r="K601" s="5">
        <f>actual_vs_target_sales_dataset[[#This Row],[Sales_ Amount]]/actual_vs_target_sales_dataset[[#This Row],[Sales_Target]]</f>
        <v>1.0410217379197682</v>
      </c>
    </row>
    <row r="602" spans="1:11" x14ac:dyDescent="0.3">
      <c r="A602" s="2">
        <v>45162</v>
      </c>
      <c r="B602" s="3" t="s">
        <v>20</v>
      </c>
      <c r="C602" s="3" t="s">
        <v>8</v>
      </c>
      <c r="D602" s="3" t="s">
        <v>15</v>
      </c>
      <c r="E602" s="3" t="s">
        <v>21</v>
      </c>
      <c r="F602" s="3" t="s">
        <v>11</v>
      </c>
      <c r="G602" s="3">
        <v>9400</v>
      </c>
      <c r="H602" s="3">
        <v>10362.35</v>
      </c>
      <c r="I602" s="3" t="s">
        <v>38</v>
      </c>
      <c r="J602" s="3">
        <v>8</v>
      </c>
      <c r="K602" s="5">
        <f>actual_vs_target_sales_dataset[[#This Row],[Sales_ Amount]]/actual_vs_target_sales_dataset[[#This Row],[Sales_Target]]</f>
        <v>0.90713013939888154</v>
      </c>
    </row>
    <row r="603" spans="1:11" x14ac:dyDescent="0.3">
      <c r="A603" s="2">
        <v>45163</v>
      </c>
      <c r="B603" s="3" t="s">
        <v>20</v>
      </c>
      <c r="C603" s="3" t="s">
        <v>22</v>
      </c>
      <c r="D603" s="3" t="s">
        <v>18</v>
      </c>
      <c r="E603" s="3" t="s">
        <v>19</v>
      </c>
      <c r="F603" s="3" t="s">
        <v>29</v>
      </c>
      <c r="G603" s="3">
        <v>8523.07</v>
      </c>
      <c r="H603" s="3">
        <v>9539.48</v>
      </c>
      <c r="I603" s="3" t="s">
        <v>38</v>
      </c>
      <c r="J603" s="3">
        <v>8</v>
      </c>
      <c r="K603" s="5">
        <f>actual_vs_target_sales_dataset[[#This Row],[Sales_ Amount]]/actual_vs_target_sales_dataset[[#This Row],[Sales_Target]]</f>
        <v>0.89345226364539787</v>
      </c>
    </row>
    <row r="604" spans="1:11" x14ac:dyDescent="0.3">
      <c r="A604" s="2">
        <v>45164</v>
      </c>
      <c r="B604" s="3" t="s">
        <v>20</v>
      </c>
      <c r="C604" s="3" t="s">
        <v>14</v>
      </c>
      <c r="D604" s="3" t="s">
        <v>24</v>
      </c>
      <c r="E604" s="3" t="s">
        <v>10</v>
      </c>
      <c r="F604" s="3" t="s">
        <v>29</v>
      </c>
      <c r="G604" s="3">
        <v>10030.620000000001</v>
      </c>
      <c r="H604" s="3">
        <v>9130.73</v>
      </c>
      <c r="I604" s="3" t="s">
        <v>38</v>
      </c>
      <c r="J604" s="3">
        <v>8</v>
      </c>
      <c r="K604" s="5">
        <f>actual_vs_target_sales_dataset[[#This Row],[Sales_ Amount]]/actual_vs_target_sales_dataset[[#This Row],[Sales_Target]]</f>
        <v>1.0985561943020987</v>
      </c>
    </row>
    <row r="605" spans="1:11" x14ac:dyDescent="0.3">
      <c r="A605" s="2">
        <v>45165</v>
      </c>
      <c r="B605" s="3" t="s">
        <v>23</v>
      </c>
      <c r="C605" s="3" t="s">
        <v>25</v>
      </c>
      <c r="D605" s="3" t="s">
        <v>9</v>
      </c>
      <c r="E605" s="3" t="s">
        <v>10</v>
      </c>
      <c r="F605" s="3" t="s">
        <v>29</v>
      </c>
      <c r="G605" s="3">
        <v>-88.67</v>
      </c>
      <c r="H605" s="3">
        <v>-90.06</v>
      </c>
      <c r="I605" s="3" t="s">
        <v>38</v>
      </c>
      <c r="J605" s="3">
        <v>8</v>
      </c>
      <c r="K605" s="5">
        <f>actual_vs_target_sales_dataset[[#This Row],[Sales_ Amount]]/actual_vs_target_sales_dataset[[#This Row],[Sales_Target]]</f>
        <v>0.98456584499222743</v>
      </c>
    </row>
    <row r="606" spans="1:11" x14ac:dyDescent="0.3">
      <c r="A606" s="2">
        <v>45166</v>
      </c>
      <c r="B606" s="3" t="s">
        <v>23</v>
      </c>
      <c r="C606" s="3" t="s">
        <v>14</v>
      </c>
      <c r="D606" s="3" t="s">
        <v>24</v>
      </c>
      <c r="E606" s="3" t="s">
        <v>10</v>
      </c>
      <c r="F606" s="3" t="s">
        <v>29</v>
      </c>
      <c r="G606" s="3">
        <v>4010.01</v>
      </c>
      <c r="H606" s="3">
        <v>4164.33</v>
      </c>
      <c r="I606" s="3" t="s">
        <v>38</v>
      </c>
      <c r="J606" s="3">
        <v>8</v>
      </c>
      <c r="K606" s="5">
        <f>actual_vs_target_sales_dataset[[#This Row],[Sales_ Amount]]/actual_vs_target_sales_dataset[[#This Row],[Sales_Target]]</f>
        <v>0.96294241810807513</v>
      </c>
    </row>
    <row r="607" spans="1:11" x14ac:dyDescent="0.3">
      <c r="A607" s="2">
        <v>45167</v>
      </c>
      <c r="B607" s="3" t="s">
        <v>13</v>
      </c>
      <c r="C607" s="3" t="s">
        <v>14</v>
      </c>
      <c r="D607" s="3" t="s">
        <v>9</v>
      </c>
      <c r="E607" s="3" t="s">
        <v>19</v>
      </c>
      <c r="F607" s="3" t="s">
        <v>31</v>
      </c>
      <c r="G607" s="3">
        <v>-3160.8</v>
      </c>
      <c r="H607" s="3">
        <v>-3082.47</v>
      </c>
      <c r="I607" s="3" t="s">
        <v>38</v>
      </c>
      <c r="J607" s="3">
        <v>8</v>
      </c>
      <c r="K607" s="5">
        <f>actual_vs_target_sales_dataset[[#This Row],[Sales_ Amount]]/actual_vs_target_sales_dataset[[#This Row],[Sales_Target]]</f>
        <v>1.0254114395273921</v>
      </c>
    </row>
    <row r="608" spans="1:11" x14ac:dyDescent="0.3">
      <c r="A608" s="2">
        <v>45168</v>
      </c>
      <c r="B608" s="3" t="s">
        <v>7</v>
      </c>
      <c r="C608" s="3" t="s">
        <v>22</v>
      </c>
      <c r="D608" s="3" t="s">
        <v>9</v>
      </c>
      <c r="E608" s="3" t="s">
        <v>10</v>
      </c>
      <c r="F608" s="3" t="s">
        <v>29</v>
      </c>
      <c r="G608" s="3">
        <v>-1359.5</v>
      </c>
      <c r="H608" s="3">
        <v>-1347.55</v>
      </c>
      <c r="I608" s="3" t="s">
        <v>38</v>
      </c>
      <c r="J608" s="3">
        <v>8</v>
      </c>
      <c r="K608" s="5">
        <f>actual_vs_target_sales_dataset[[#This Row],[Sales_ Amount]]/actual_vs_target_sales_dataset[[#This Row],[Sales_Target]]</f>
        <v>1.0088679455307781</v>
      </c>
    </row>
    <row r="609" spans="1:11" x14ac:dyDescent="0.3">
      <c r="A609" s="2">
        <v>45169</v>
      </c>
      <c r="B609" s="3" t="s">
        <v>23</v>
      </c>
      <c r="C609" s="3" t="s">
        <v>25</v>
      </c>
      <c r="D609" s="3" t="s">
        <v>9</v>
      </c>
      <c r="E609" s="3" t="s">
        <v>10</v>
      </c>
      <c r="F609" s="3" t="s">
        <v>27</v>
      </c>
      <c r="G609" s="3">
        <v>3506.6</v>
      </c>
      <c r="H609" s="3">
        <v>3690.98</v>
      </c>
      <c r="I609" s="3" t="s">
        <v>38</v>
      </c>
      <c r="J609" s="3">
        <v>8</v>
      </c>
      <c r="K609" s="5">
        <f>actual_vs_target_sales_dataset[[#This Row],[Sales_ Amount]]/actual_vs_target_sales_dataset[[#This Row],[Sales_Target]]</f>
        <v>0.95004578729768241</v>
      </c>
    </row>
    <row r="610" spans="1:11" x14ac:dyDescent="0.3">
      <c r="A610" s="2">
        <v>45170</v>
      </c>
      <c r="B610" s="3" t="s">
        <v>7</v>
      </c>
      <c r="C610" s="3" t="s">
        <v>22</v>
      </c>
      <c r="D610" s="3" t="s">
        <v>15</v>
      </c>
      <c r="E610" s="3" t="s">
        <v>10</v>
      </c>
      <c r="F610" s="3" t="s">
        <v>26</v>
      </c>
      <c r="G610" s="3">
        <v>-7858.32</v>
      </c>
      <c r="H610" s="3">
        <v>-6591.98</v>
      </c>
      <c r="I610" s="3" t="s">
        <v>39</v>
      </c>
      <c r="J610" s="3">
        <v>9</v>
      </c>
      <c r="K610" s="5">
        <f>actual_vs_target_sales_dataset[[#This Row],[Sales_ Amount]]/actual_vs_target_sales_dataset[[#This Row],[Sales_Target]]</f>
        <v>1.1921031313808599</v>
      </c>
    </row>
    <row r="611" spans="1:11" x14ac:dyDescent="0.3">
      <c r="A611" s="2">
        <v>45171</v>
      </c>
      <c r="B611" s="3" t="s">
        <v>13</v>
      </c>
      <c r="C611" s="3" t="s">
        <v>22</v>
      </c>
      <c r="D611" s="3" t="s">
        <v>24</v>
      </c>
      <c r="E611" s="3" t="s">
        <v>19</v>
      </c>
      <c r="F611" s="3" t="s">
        <v>30</v>
      </c>
      <c r="G611" s="3">
        <v>16783.55</v>
      </c>
      <c r="H611" s="3">
        <v>17381.61</v>
      </c>
      <c r="I611" s="3" t="s">
        <v>39</v>
      </c>
      <c r="J611" s="3">
        <v>9</v>
      </c>
      <c r="K611" s="5">
        <f>actual_vs_target_sales_dataset[[#This Row],[Sales_ Amount]]/actual_vs_target_sales_dataset[[#This Row],[Sales_Target]]</f>
        <v>0.96559237032702949</v>
      </c>
    </row>
    <row r="612" spans="1:11" x14ac:dyDescent="0.3">
      <c r="A612" s="2">
        <v>45172</v>
      </c>
      <c r="B612" s="3" t="s">
        <v>23</v>
      </c>
      <c r="C612" s="3" t="s">
        <v>22</v>
      </c>
      <c r="D612" s="3" t="s">
        <v>9</v>
      </c>
      <c r="E612" s="3" t="s">
        <v>10</v>
      </c>
      <c r="F612" s="3" t="s">
        <v>27</v>
      </c>
      <c r="G612" s="3">
        <v>7619.97</v>
      </c>
      <c r="H612" s="3">
        <v>7896.47</v>
      </c>
      <c r="I612" s="3" t="s">
        <v>39</v>
      </c>
      <c r="J612" s="3">
        <v>9</v>
      </c>
      <c r="K612" s="5">
        <f>actual_vs_target_sales_dataset[[#This Row],[Sales_ Amount]]/actual_vs_target_sales_dataset[[#This Row],[Sales_Target]]</f>
        <v>0.9649843537682028</v>
      </c>
    </row>
    <row r="613" spans="1:11" x14ac:dyDescent="0.3">
      <c r="A613" s="2">
        <v>45173</v>
      </c>
      <c r="B613" s="3" t="s">
        <v>13</v>
      </c>
      <c r="C613" s="3" t="s">
        <v>22</v>
      </c>
      <c r="D613" s="3" t="s">
        <v>15</v>
      </c>
      <c r="E613" s="3" t="s">
        <v>21</v>
      </c>
      <c r="F613" s="3" t="s">
        <v>30</v>
      </c>
      <c r="G613" s="3">
        <v>6435.03</v>
      </c>
      <c r="H613" s="3">
        <v>6132.75</v>
      </c>
      <c r="I613" s="3" t="s">
        <v>39</v>
      </c>
      <c r="J613" s="3">
        <v>9</v>
      </c>
      <c r="K613" s="5">
        <f>actual_vs_target_sales_dataset[[#This Row],[Sales_ Amount]]/actual_vs_target_sales_dataset[[#This Row],[Sales_Target]]</f>
        <v>1.049289470465941</v>
      </c>
    </row>
    <row r="614" spans="1:11" x14ac:dyDescent="0.3">
      <c r="A614" s="2">
        <v>45174</v>
      </c>
      <c r="B614" s="3" t="s">
        <v>20</v>
      </c>
      <c r="C614" s="3" t="s">
        <v>22</v>
      </c>
      <c r="D614" s="3" t="s">
        <v>9</v>
      </c>
      <c r="E614" s="3" t="s">
        <v>19</v>
      </c>
      <c r="F614" s="3" t="s">
        <v>26</v>
      </c>
      <c r="G614" s="3">
        <v>1772.76</v>
      </c>
      <c r="H614" s="3">
        <v>1732.72</v>
      </c>
      <c r="I614" s="3" t="s">
        <v>39</v>
      </c>
      <c r="J614" s="3">
        <v>9</v>
      </c>
      <c r="K614" s="5">
        <f>actual_vs_target_sales_dataset[[#This Row],[Sales_ Amount]]/actual_vs_target_sales_dataset[[#This Row],[Sales_Target]]</f>
        <v>1.0231081767394616</v>
      </c>
    </row>
    <row r="615" spans="1:11" x14ac:dyDescent="0.3">
      <c r="A615" s="2">
        <v>45175</v>
      </c>
      <c r="B615" s="3" t="s">
        <v>7</v>
      </c>
      <c r="C615" s="3" t="s">
        <v>14</v>
      </c>
      <c r="D615" s="3" t="s">
        <v>9</v>
      </c>
      <c r="E615" s="3" t="s">
        <v>21</v>
      </c>
      <c r="F615" s="3" t="s">
        <v>27</v>
      </c>
      <c r="G615" s="3">
        <v>5707.24</v>
      </c>
      <c r="H615" s="3">
        <v>6018.43</v>
      </c>
      <c r="I615" s="3" t="s">
        <v>39</v>
      </c>
      <c r="J615" s="3">
        <v>9</v>
      </c>
      <c r="K615" s="5">
        <f>actual_vs_target_sales_dataset[[#This Row],[Sales_ Amount]]/actual_vs_target_sales_dataset[[#This Row],[Sales_Target]]</f>
        <v>0.94829382413685948</v>
      </c>
    </row>
    <row r="616" spans="1:11" x14ac:dyDescent="0.3">
      <c r="A616" s="2">
        <v>45176</v>
      </c>
      <c r="B616" s="3" t="s">
        <v>13</v>
      </c>
      <c r="C616" s="3" t="s">
        <v>22</v>
      </c>
      <c r="D616" s="3" t="s">
        <v>24</v>
      </c>
      <c r="E616" s="3" t="s">
        <v>10</v>
      </c>
      <c r="F616" s="3" t="s">
        <v>31</v>
      </c>
      <c r="G616" s="3">
        <v>10059.58</v>
      </c>
      <c r="H616" s="3">
        <v>10966</v>
      </c>
      <c r="I616" s="3" t="s">
        <v>39</v>
      </c>
      <c r="J616" s="3">
        <v>9</v>
      </c>
      <c r="K616" s="5">
        <f>actual_vs_target_sales_dataset[[#This Row],[Sales_ Amount]]/actual_vs_target_sales_dataset[[#This Row],[Sales_Target]]</f>
        <v>0.91734269560459603</v>
      </c>
    </row>
    <row r="617" spans="1:11" x14ac:dyDescent="0.3">
      <c r="A617" s="2">
        <v>45177</v>
      </c>
      <c r="B617" s="3" t="s">
        <v>20</v>
      </c>
      <c r="C617" s="3" t="s">
        <v>8</v>
      </c>
      <c r="D617" s="3" t="s">
        <v>9</v>
      </c>
      <c r="E617" s="3" t="s">
        <v>10</v>
      </c>
      <c r="F617" s="3" t="s">
        <v>28</v>
      </c>
      <c r="G617" s="3">
        <v>10382.41</v>
      </c>
      <c r="H617" s="3">
        <v>10848.22</v>
      </c>
      <c r="I617" s="3" t="s">
        <v>39</v>
      </c>
      <c r="J617" s="3">
        <v>9</v>
      </c>
      <c r="K617" s="5">
        <f>actual_vs_target_sales_dataset[[#This Row],[Sales_ Amount]]/actual_vs_target_sales_dataset[[#This Row],[Sales_Target]]</f>
        <v>0.9570611584204598</v>
      </c>
    </row>
    <row r="618" spans="1:11" x14ac:dyDescent="0.3">
      <c r="A618" s="2">
        <v>45178</v>
      </c>
      <c r="B618" s="3" t="s">
        <v>13</v>
      </c>
      <c r="C618" s="3" t="s">
        <v>8</v>
      </c>
      <c r="D618" s="3" t="s">
        <v>9</v>
      </c>
      <c r="E618" s="3" t="s">
        <v>21</v>
      </c>
      <c r="F618" s="3" t="s">
        <v>26</v>
      </c>
      <c r="G618" s="3">
        <v>4026.55</v>
      </c>
      <c r="H618" s="3">
        <v>4172.8599999999997</v>
      </c>
      <c r="I618" s="3" t="s">
        <v>39</v>
      </c>
      <c r="J618" s="3">
        <v>9</v>
      </c>
      <c r="K618" s="5">
        <f>actual_vs_target_sales_dataset[[#This Row],[Sales_ Amount]]/actual_vs_target_sales_dataset[[#This Row],[Sales_Target]]</f>
        <v>0.96493771657807847</v>
      </c>
    </row>
    <row r="619" spans="1:11" x14ac:dyDescent="0.3">
      <c r="A619" s="2">
        <v>45179</v>
      </c>
      <c r="B619" s="3" t="s">
        <v>23</v>
      </c>
      <c r="C619" s="3" t="s">
        <v>8</v>
      </c>
      <c r="D619" s="3" t="s">
        <v>15</v>
      </c>
      <c r="E619" s="3" t="s">
        <v>21</v>
      </c>
      <c r="F619" s="3" t="s">
        <v>16</v>
      </c>
      <c r="G619" s="3">
        <v>-1615.67</v>
      </c>
      <c r="H619" s="3">
        <v>-1544.43</v>
      </c>
      <c r="I619" s="3" t="s">
        <v>39</v>
      </c>
      <c r="J619" s="3">
        <v>9</v>
      </c>
      <c r="K619" s="5">
        <f>actual_vs_target_sales_dataset[[#This Row],[Sales_ Amount]]/actual_vs_target_sales_dataset[[#This Row],[Sales_Target]]</f>
        <v>1.0461270501091018</v>
      </c>
    </row>
    <row r="620" spans="1:11" x14ac:dyDescent="0.3">
      <c r="A620" s="2">
        <v>45180</v>
      </c>
      <c r="B620" s="3" t="s">
        <v>13</v>
      </c>
      <c r="C620" s="3" t="s">
        <v>22</v>
      </c>
      <c r="D620" s="3" t="s">
        <v>18</v>
      </c>
      <c r="E620" s="3" t="s">
        <v>21</v>
      </c>
      <c r="F620" s="3" t="s">
        <v>31</v>
      </c>
      <c r="G620" s="3">
        <v>11321.31</v>
      </c>
      <c r="H620" s="3">
        <v>11135.28</v>
      </c>
      <c r="I620" s="3" t="s">
        <v>39</v>
      </c>
      <c r="J620" s="3">
        <v>9</v>
      </c>
      <c r="K620" s="5">
        <f>actual_vs_target_sales_dataset[[#This Row],[Sales_ Amount]]/actual_vs_target_sales_dataset[[#This Row],[Sales_Target]]</f>
        <v>1.0167063603250208</v>
      </c>
    </row>
    <row r="621" spans="1:11" x14ac:dyDescent="0.3">
      <c r="A621" s="2">
        <v>45181</v>
      </c>
      <c r="B621" s="3" t="s">
        <v>17</v>
      </c>
      <c r="C621" s="3" t="s">
        <v>8</v>
      </c>
      <c r="D621" s="3" t="s">
        <v>15</v>
      </c>
      <c r="E621" s="3" t="s">
        <v>19</v>
      </c>
      <c r="F621" s="3" t="s">
        <v>16</v>
      </c>
      <c r="G621" s="3">
        <v>8810.0499999999993</v>
      </c>
      <c r="H621" s="3">
        <v>9798.01</v>
      </c>
      <c r="I621" s="3" t="s">
        <v>39</v>
      </c>
      <c r="J621" s="3">
        <v>9</v>
      </c>
      <c r="K621" s="5">
        <f>actual_vs_target_sales_dataset[[#This Row],[Sales_ Amount]]/actual_vs_target_sales_dataset[[#This Row],[Sales_Target]]</f>
        <v>0.89916727988642586</v>
      </c>
    </row>
    <row r="622" spans="1:11" x14ac:dyDescent="0.3">
      <c r="A622" s="2">
        <v>45182</v>
      </c>
      <c r="B622" s="3" t="s">
        <v>7</v>
      </c>
      <c r="C622" s="3" t="s">
        <v>22</v>
      </c>
      <c r="D622" s="3" t="s">
        <v>24</v>
      </c>
      <c r="E622" s="3" t="s">
        <v>19</v>
      </c>
      <c r="F622" s="3" t="s">
        <v>26</v>
      </c>
      <c r="G622" s="3">
        <v>3551.1</v>
      </c>
      <c r="H622" s="3">
        <v>3624.56</v>
      </c>
      <c r="I622" s="3" t="s">
        <v>39</v>
      </c>
      <c r="J622" s="3">
        <v>9</v>
      </c>
      <c r="K622" s="5">
        <f>actual_vs_target_sales_dataset[[#This Row],[Sales_ Amount]]/actual_vs_target_sales_dataset[[#This Row],[Sales_Target]]</f>
        <v>0.97973271238439974</v>
      </c>
    </row>
    <row r="623" spans="1:11" x14ac:dyDescent="0.3">
      <c r="A623" s="2">
        <v>45183</v>
      </c>
      <c r="B623" s="3" t="s">
        <v>23</v>
      </c>
      <c r="C623" s="3" t="s">
        <v>14</v>
      </c>
      <c r="D623" s="3" t="s">
        <v>9</v>
      </c>
      <c r="E623" s="3" t="s">
        <v>10</v>
      </c>
      <c r="F623" s="3" t="s">
        <v>16</v>
      </c>
      <c r="G623" s="3">
        <v>14127.37</v>
      </c>
      <c r="H623" s="3">
        <v>14898.95</v>
      </c>
      <c r="I623" s="3" t="s">
        <v>39</v>
      </c>
      <c r="J623" s="3">
        <v>9</v>
      </c>
      <c r="K623" s="5">
        <f>actual_vs_target_sales_dataset[[#This Row],[Sales_ Amount]]/actual_vs_target_sales_dataset[[#This Row],[Sales_Target]]</f>
        <v>0.94821245792488729</v>
      </c>
    </row>
    <row r="624" spans="1:11" x14ac:dyDescent="0.3">
      <c r="A624" s="2">
        <v>45184</v>
      </c>
      <c r="B624" s="3" t="s">
        <v>17</v>
      </c>
      <c r="C624" s="3" t="s">
        <v>8</v>
      </c>
      <c r="D624" s="3" t="s">
        <v>24</v>
      </c>
      <c r="E624" s="3" t="s">
        <v>21</v>
      </c>
      <c r="F624" s="3" t="s">
        <v>27</v>
      </c>
      <c r="G624" s="3">
        <v>10042.27</v>
      </c>
      <c r="H624" s="3">
        <v>10537.43</v>
      </c>
      <c r="I624" s="3" t="s">
        <v>39</v>
      </c>
      <c r="J624" s="3">
        <v>9</v>
      </c>
      <c r="K624" s="5">
        <f>actual_vs_target_sales_dataset[[#This Row],[Sales_ Amount]]/actual_vs_target_sales_dataset[[#This Row],[Sales_Target]]</f>
        <v>0.95300941500916259</v>
      </c>
    </row>
    <row r="625" spans="1:11" x14ac:dyDescent="0.3">
      <c r="A625" s="2">
        <v>45185</v>
      </c>
      <c r="B625" s="3" t="s">
        <v>7</v>
      </c>
      <c r="C625" s="3" t="s">
        <v>14</v>
      </c>
      <c r="D625" s="3" t="s">
        <v>24</v>
      </c>
      <c r="E625" s="3" t="s">
        <v>19</v>
      </c>
      <c r="F625" s="3" t="s">
        <v>30</v>
      </c>
      <c r="G625" s="3">
        <v>12566.72</v>
      </c>
      <c r="H625" s="3">
        <v>12308.7</v>
      </c>
      <c r="I625" s="3" t="s">
        <v>39</v>
      </c>
      <c r="J625" s="3">
        <v>9</v>
      </c>
      <c r="K625" s="5">
        <f>actual_vs_target_sales_dataset[[#This Row],[Sales_ Amount]]/actual_vs_target_sales_dataset[[#This Row],[Sales_Target]]</f>
        <v>1.0209624087027873</v>
      </c>
    </row>
    <row r="626" spans="1:11" x14ac:dyDescent="0.3">
      <c r="A626" s="2">
        <v>45186</v>
      </c>
      <c r="B626" s="3" t="s">
        <v>13</v>
      </c>
      <c r="C626" s="3" t="s">
        <v>14</v>
      </c>
      <c r="D626" s="3" t="s">
        <v>18</v>
      </c>
      <c r="E626" s="3" t="s">
        <v>19</v>
      </c>
      <c r="F626" s="3" t="s">
        <v>11</v>
      </c>
      <c r="G626" s="3">
        <v>14970.58</v>
      </c>
      <c r="H626" s="3">
        <v>14233.36</v>
      </c>
      <c r="I626" s="3" t="s">
        <v>39</v>
      </c>
      <c r="J626" s="3">
        <v>9</v>
      </c>
      <c r="K626" s="5">
        <f>actual_vs_target_sales_dataset[[#This Row],[Sales_ Amount]]/actual_vs_target_sales_dataset[[#This Row],[Sales_Target]]</f>
        <v>1.0517952191190274</v>
      </c>
    </row>
    <row r="627" spans="1:11" x14ac:dyDescent="0.3">
      <c r="A627" s="2">
        <v>45187</v>
      </c>
      <c r="B627" s="3" t="s">
        <v>23</v>
      </c>
      <c r="C627" s="3" t="s">
        <v>22</v>
      </c>
      <c r="D627" s="3" t="s">
        <v>18</v>
      </c>
      <c r="E627" s="3" t="s">
        <v>21</v>
      </c>
      <c r="F627" s="3" t="s">
        <v>31</v>
      </c>
      <c r="G627" s="3">
        <v>12186.09</v>
      </c>
      <c r="H627" s="3">
        <v>13257.01</v>
      </c>
      <c r="I627" s="3" t="s">
        <v>39</v>
      </c>
      <c r="J627" s="3">
        <v>9</v>
      </c>
      <c r="K627" s="5">
        <f>actual_vs_target_sales_dataset[[#This Row],[Sales_ Amount]]/actual_vs_target_sales_dataset[[#This Row],[Sales_Target]]</f>
        <v>0.91921858699661541</v>
      </c>
    </row>
    <row r="628" spans="1:11" x14ac:dyDescent="0.3">
      <c r="A628" s="2">
        <v>45188</v>
      </c>
      <c r="B628" s="3" t="s">
        <v>23</v>
      </c>
      <c r="C628" s="3" t="s">
        <v>25</v>
      </c>
      <c r="D628" s="3" t="s">
        <v>24</v>
      </c>
      <c r="E628" s="3" t="s">
        <v>10</v>
      </c>
      <c r="F628" s="3" t="s">
        <v>28</v>
      </c>
      <c r="G628" s="3">
        <v>2610.06</v>
      </c>
      <c r="H628" s="3">
        <v>2722.39</v>
      </c>
      <c r="I628" s="3" t="s">
        <v>39</v>
      </c>
      <c r="J628" s="3">
        <v>9</v>
      </c>
      <c r="K628" s="5">
        <f>actual_vs_target_sales_dataset[[#This Row],[Sales_ Amount]]/actual_vs_target_sales_dataset[[#This Row],[Sales_Target]]</f>
        <v>0.95873846142543873</v>
      </c>
    </row>
    <row r="629" spans="1:11" x14ac:dyDescent="0.3">
      <c r="A629" s="2">
        <v>45189</v>
      </c>
      <c r="B629" s="3" t="s">
        <v>20</v>
      </c>
      <c r="C629" s="3" t="s">
        <v>14</v>
      </c>
      <c r="D629" s="3" t="s">
        <v>18</v>
      </c>
      <c r="E629" s="3" t="s">
        <v>10</v>
      </c>
      <c r="F629" s="3" t="s">
        <v>16</v>
      </c>
      <c r="G629" s="3">
        <v>14183.18</v>
      </c>
      <c r="H629" s="3">
        <v>13816.43</v>
      </c>
      <c r="I629" s="3" t="s">
        <v>39</v>
      </c>
      <c r="J629" s="3">
        <v>9</v>
      </c>
      <c r="K629" s="5">
        <f>actual_vs_target_sales_dataset[[#This Row],[Sales_ Amount]]/actual_vs_target_sales_dataset[[#This Row],[Sales_Target]]</f>
        <v>1.0265444836328921</v>
      </c>
    </row>
    <row r="630" spans="1:11" x14ac:dyDescent="0.3">
      <c r="A630" s="2">
        <v>45190</v>
      </c>
      <c r="B630" s="3" t="s">
        <v>7</v>
      </c>
      <c r="C630" s="3" t="s">
        <v>25</v>
      </c>
      <c r="D630" s="3" t="s">
        <v>15</v>
      </c>
      <c r="E630" s="3" t="s">
        <v>19</v>
      </c>
      <c r="F630" s="3" t="s">
        <v>28</v>
      </c>
      <c r="G630" s="3">
        <v>-3870.12</v>
      </c>
      <c r="H630" s="3">
        <v>-3920.94</v>
      </c>
      <c r="I630" s="3" t="s">
        <v>39</v>
      </c>
      <c r="J630" s="3">
        <v>9</v>
      </c>
      <c r="K630" s="5">
        <f>actual_vs_target_sales_dataset[[#This Row],[Sales_ Amount]]/actual_vs_target_sales_dataset[[#This Row],[Sales_Target]]</f>
        <v>0.98703882232321838</v>
      </c>
    </row>
    <row r="631" spans="1:11" x14ac:dyDescent="0.3">
      <c r="A631" s="2">
        <v>45191</v>
      </c>
      <c r="B631" s="3" t="s">
        <v>20</v>
      </c>
      <c r="C631" s="3" t="s">
        <v>8</v>
      </c>
      <c r="D631" s="3" t="s">
        <v>9</v>
      </c>
      <c r="E631" s="3" t="s">
        <v>21</v>
      </c>
      <c r="F631" s="3" t="s">
        <v>26</v>
      </c>
      <c r="G631" s="3">
        <v>8389.15</v>
      </c>
      <c r="H631" s="3">
        <v>7861.18</v>
      </c>
      <c r="I631" s="3" t="s">
        <v>39</v>
      </c>
      <c r="J631" s="3">
        <v>9</v>
      </c>
      <c r="K631" s="5">
        <f>actual_vs_target_sales_dataset[[#This Row],[Sales_ Amount]]/actual_vs_target_sales_dataset[[#This Row],[Sales_Target]]</f>
        <v>1.0671616729295093</v>
      </c>
    </row>
    <row r="632" spans="1:11" x14ac:dyDescent="0.3">
      <c r="A632" s="2">
        <v>45192</v>
      </c>
      <c r="B632" s="3" t="s">
        <v>7</v>
      </c>
      <c r="C632" s="3" t="s">
        <v>22</v>
      </c>
      <c r="D632" s="3" t="s">
        <v>15</v>
      </c>
      <c r="E632" s="3" t="s">
        <v>21</v>
      </c>
      <c r="F632" s="3" t="s">
        <v>26</v>
      </c>
      <c r="G632" s="3">
        <v>11252.02</v>
      </c>
      <c r="H632" s="3">
        <v>12266.76</v>
      </c>
      <c r="I632" s="3" t="s">
        <v>39</v>
      </c>
      <c r="J632" s="3">
        <v>9</v>
      </c>
      <c r="K632" s="5">
        <f>actual_vs_target_sales_dataset[[#This Row],[Sales_ Amount]]/actual_vs_target_sales_dataset[[#This Row],[Sales_Target]]</f>
        <v>0.91727725984693598</v>
      </c>
    </row>
    <row r="633" spans="1:11" x14ac:dyDescent="0.3">
      <c r="A633" s="2">
        <v>45193</v>
      </c>
      <c r="B633" s="3" t="s">
        <v>20</v>
      </c>
      <c r="C633" s="3" t="s">
        <v>25</v>
      </c>
      <c r="D633" s="3" t="s">
        <v>18</v>
      </c>
      <c r="E633" s="3" t="s">
        <v>10</v>
      </c>
      <c r="F633" s="3" t="s">
        <v>26</v>
      </c>
      <c r="G633" s="3">
        <v>7530.63</v>
      </c>
      <c r="H633" s="3">
        <v>7158.41</v>
      </c>
      <c r="I633" s="3" t="s">
        <v>39</v>
      </c>
      <c r="J633" s="3">
        <v>9</v>
      </c>
      <c r="K633" s="5">
        <f>actual_vs_target_sales_dataset[[#This Row],[Sales_ Amount]]/actual_vs_target_sales_dataset[[#This Row],[Sales_Target]]</f>
        <v>1.0519975804682884</v>
      </c>
    </row>
    <row r="634" spans="1:11" x14ac:dyDescent="0.3">
      <c r="A634" s="2">
        <v>45194</v>
      </c>
      <c r="B634" s="3" t="s">
        <v>20</v>
      </c>
      <c r="C634" s="3" t="s">
        <v>8</v>
      </c>
      <c r="D634" s="3" t="s">
        <v>24</v>
      </c>
      <c r="E634" s="3" t="s">
        <v>10</v>
      </c>
      <c r="F634" s="3" t="s">
        <v>26</v>
      </c>
      <c r="G634" s="3">
        <v>4094.68</v>
      </c>
      <c r="H634" s="3">
        <v>3720.54</v>
      </c>
      <c r="I634" s="3" t="s">
        <v>39</v>
      </c>
      <c r="J634" s="3">
        <v>9</v>
      </c>
      <c r="K634" s="5">
        <f>actual_vs_target_sales_dataset[[#This Row],[Sales_ Amount]]/actual_vs_target_sales_dataset[[#This Row],[Sales_Target]]</f>
        <v>1.1005606713004026</v>
      </c>
    </row>
    <row r="635" spans="1:11" x14ac:dyDescent="0.3">
      <c r="A635" s="2">
        <v>45195</v>
      </c>
      <c r="B635" s="3" t="s">
        <v>13</v>
      </c>
      <c r="C635" s="3" t="s">
        <v>8</v>
      </c>
      <c r="D635" s="3" t="s">
        <v>24</v>
      </c>
      <c r="E635" s="3" t="s">
        <v>21</v>
      </c>
      <c r="F635" s="3" t="s">
        <v>16</v>
      </c>
      <c r="G635" s="3">
        <v>4680.08</v>
      </c>
      <c r="H635" s="3">
        <v>4216.09</v>
      </c>
      <c r="I635" s="3" t="s">
        <v>39</v>
      </c>
      <c r="J635" s="3">
        <v>9</v>
      </c>
      <c r="K635" s="5">
        <f>actual_vs_target_sales_dataset[[#This Row],[Sales_ Amount]]/actual_vs_target_sales_dataset[[#This Row],[Sales_Target]]</f>
        <v>1.1100522047679247</v>
      </c>
    </row>
    <row r="636" spans="1:11" x14ac:dyDescent="0.3">
      <c r="A636" s="2">
        <v>45196</v>
      </c>
      <c r="B636" s="3" t="s">
        <v>13</v>
      </c>
      <c r="C636" s="3" t="s">
        <v>22</v>
      </c>
      <c r="D636" s="3" t="s">
        <v>18</v>
      </c>
      <c r="E636" s="3" t="s">
        <v>21</v>
      </c>
      <c r="F636" s="3" t="s">
        <v>28</v>
      </c>
      <c r="G636" s="3">
        <v>8525.4599999999991</v>
      </c>
      <c r="H636" s="3">
        <v>9679.25</v>
      </c>
      <c r="I636" s="3" t="s">
        <v>39</v>
      </c>
      <c r="J636" s="3">
        <v>9</v>
      </c>
      <c r="K636" s="5">
        <f>actual_vs_target_sales_dataset[[#This Row],[Sales_ Amount]]/actual_vs_target_sales_dataset[[#This Row],[Sales_Target]]</f>
        <v>0.88079758245731843</v>
      </c>
    </row>
    <row r="637" spans="1:11" x14ac:dyDescent="0.3">
      <c r="A637" s="2">
        <v>45197</v>
      </c>
      <c r="B637" s="3" t="s">
        <v>17</v>
      </c>
      <c r="C637" s="3" t="s">
        <v>25</v>
      </c>
      <c r="D637" s="3" t="s">
        <v>18</v>
      </c>
      <c r="E637" s="3" t="s">
        <v>19</v>
      </c>
      <c r="F637" s="3" t="s">
        <v>27</v>
      </c>
      <c r="G637" s="3">
        <v>7366.4</v>
      </c>
      <c r="H637" s="3">
        <v>7086.89</v>
      </c>
      <c r="I637" s="3" t="s">
        <v>39</v>
      </c>
      <c r="J637" s="3">
        <v>9</v>
      </c>
      <c r="K637" s="5">
        <f>actual_vs_target_sales_dataset[[#This Row],[Sales_ Amount]]/actual_vs_target_sales_dataset[[#This Row],[Sales_Target]]</f>
        <v>1.039440431557425</v>
      </c>
    </row>
    <row r="638" spans="1:11" x14ac:dyDescent="0.3">
      <c r="A638" s="2">
        <v>45198</v>
      </c>
      <c r="B638" s="3" t="s">
        <v>13</v>
      </c>
      <c r="C638" s="3" t="s">
        <v>25</v>
      </c>
      <c r="D638" s="3" t="s">
        <v>18</v>
      </c>
      <c r="E638" s="3" t="s">
        <v>19</v>
      </c>
      <c r="F638" s="3" t="s">
        <v>30</v>
      </c>
      <c r="G638" s="3">
        <v>5155.79</v>
      </c>
      <c r="H638" s="3">
        <v>4403.99</v>
      </c>
      <c r="I638" s="3" t="s">
        <v>39</v>
      </c>
      <c r="J638" s="3">
        <v>9</v>
      </c>
      <c r="K638" s="5">
        <f>actual_vs_target_sales_dataset[[#This Row],[Sales_ Amount]]/actual_vs_target_sales_dataset[[#This Row],[Sales_Target]]</f>
        <v>1.1707088344887251</v>
      </c>
    </row>
    <row r="639" spans="1:11" x14ac:dyDescent="0.3">
      <c r="A639" s="2">
        <v>45199</v>
      </c>
      <c r="B639" s="3" t="s">
        <v>20</v>
      </c>
      <c r="C639" s="3" t="s">
        <v>22</v>
      </c>
      <c r="D639" s="3" t="s">
        <v>24</v>
      </c>
      <c r="E639" s="3" t="s">
        <v>21</v>
      </c>
      <c r="F639" s="3" t="s">
        <v>29</v>
      </c>
      <c r="G639" s="3">
        <v>16727.59</v>
      </c>
      <c r="H639" s="3">
        <v>18428.71</v>
      </c>
      <c r="I639" s="3" t="s">
        <v>39</v>
      </c>
      <c r="J639" s="3">
        <v>9</v>
      </c>
      <c r="K639" s="5">
        <f>actual_vs_target_sales_dataset[[#This Row],[Sales_ Amount]]/actual_vs_target_sales_dataset[[#This Row],[Sales_Target]]</f>
        <v>0.90769185689068854</v>
      </c>
    </row>
    <row r="640" spans="1:11" x14ac:dyDescent="0.3">
      <c r="A640" s="2">
        <v>45200</v>
      </c>
      <c r="B640" s="3" t="s">
        <v>23</v>
      </c>
      <c r="C640" s="3" t="s">
        <v>14</v>
      </c>
      <c r="D640" s="3" t="s">
        <v>9</v>
      </c>
      <c r="E640" s="3" t="s">
        <v>21</v>
      </c>
      <c r="F640" s="3" t="s">
        <v>26</v>
      </c>
      <c r="G640" s="3">
        <v>17985.490000000002</v>
      </c>
      <c r="H640" s="3">
        <v>19830.240000000002</v>
      </c>
      <c r="I640" s="3" t="s">
        <v>40</v>
      </c>
      <c r="J640" s="3">
        <v>10</v>
      </c>
      <c r="K640" s="5">
        <f>actual_vs_target_sales_dataset[[#This Row],[Sales_ Amount]]/actual_vs_target_sales_dataset[[#This Row],[Sales_Target]]</f>
        <v>0.90697288585513847</v>
      </c>
    </row>
    <row r="641" spans="1:11" x14ac:dyDescent="0.3">
      <c r="A641" s="2">
        <v>45201</v>
      </c>
      <c r="B641" s="3" t="s">
        <v>23</v>
      </c>
      <c r="C641" s="3" t="s">
        <v>22</v>
      </c>
      <c r="D641" s="3" t="s">
        <v>9</v>
      </c>
      <c r="E641" s="3" t="s">
        <v>21</v>
      </c>
      <c r="F641" s="3" t="s">
        <v>30</v>
      </c>
      <c r="G641" s="3">
        <v>12957.33</v>
      </c>
      <c r="H641" s="3">
        <v>12124.53</v>
      </c>
      <c r="I641" s="3" t="s">
        <v>40</v>
      </c>
      <c r="J641" s="3">
        <v>10</v>
      </c>
      <c r="K641" s="5">
        <f>actual_vs_target_sales_dataset[[#This Row],[Sales_ Amount]]/actual_vs_target_sales_dataset[[#This Row],[Sales_Target]]</f>
        <v>1.068687198596564</v>
      </c>
    </row>
    <row r="642" spans="1:11" x14ac:dyDescent="0.3">
      <c r="A642" s="2">
        <v>45202</v>
      </c>
      <c r="B642" s="3" t="s">
        <v>20</v>
      </c>
      <c r="C642" s="3" t="s">
        <v>14</v>
      </c>
      <c r="D642" s="3" t="s">
        <v>9</v>
      </c>
      <c r="E642" s="3" t="s">
        <v>10</v>
      </c>
      <c r="F642" s="3" t="s">
        <v>29</v>
      </c>
      <c r="G642" s="3">
        <v>12309.33</v>
      </c>
      <c r="H642" s="3">
        <v>14419.12</v>
      </c>
      <c r="I642" s="3" t="s">
        <v>40</v>
      </c>
      <c r="J642" s="3">
        <v>10</v>
      </c>
      <c r="K642" s="5">
        <f>actual_vs_target_sales_dataset[[#This Row],[Sales_ Amount]]/actual_vs_target_sales_dataset[[#This Row],[Sales_Target]]</f>
        <v>0.8536810845599454</v>
      </c>
    </row>
    <row r="643" spans="1:11" x14ac:dyDescent="0.3">
      <c r="A643" s="2">
        <v>45203</v>
      </c>
      <c r="B643" s="3" t="s">
        <v>20</v>
      </c>
      <c r="C643" s="3" t="s">
        <v>22</v>
      </c>
      <c r="D643" s="3" t="s">
        <v>9</v>
      </c>
      <c r="E643" s="3" t="s">
        <v>19</v>
      </c>
      <c r="F643" s="3" t="s">
        <v>29</v>
      </c>
      <c r="G643" s="3">
        <v>10308</v>
      </c>
      <c r="H643" s="3">
        <v>10384.51</v>
      </c>
      <c r="I643" s="3" t="s">
        <v>40</v>
      </c>
      <c r="J643" s="3">
        <v>10</v>
      </c>
      <c r="K643" s="5">
        <f>actual_vs_target_sales_dataset[[#This Row],[Sales_ Amount]]/actual_vs_target_sales_dataset[[#This Row],[Sales_Target]]</f>
        <v>0.99263229560181465</v>
      </c>
    </row>
    <row r="644" spans="1:11" x14ac:dyDescent="0.3">
      <c r="A644" s="2">
        <v>45204</v>
      </c>
      <c r="B644" s="3" t="s">
        <v>13</v>
      </c>
      <c r="C644" s="3" t="s">
        <v>22</v>
      </c>
      <c r="D644" s="3" t="s">
        <v>9</v>
      </c>
      <c r="E644" s="3" t="s">
        <v>10</v>
      </c>
      <c r="F644" s="3" t="s">
        <v>27</v>
      </c>
      <c r="G644" s="3">
        <v>17583.78</v>
      </c>
      <c r="H644" s="3">
        <v>20729.36</v>
      </c>
      <c r="I644" s="3" t="s">
        <v>40</v>
      </c>
      <c r="J644" s="3">
        <v>10</v>
      </c>
      <c r="K644" s="5">
        <f>actual_vs_target_sales_dataset[[#This Row],[Sales_ Amount]]/actual_vs_target_sales_dataset[[#This Row],[Sales_Target]]</f>
        <v>0.84825484240709792</v>
      </c>
    </row>
    <row r="645" spans="1:11" x14ac:dyDescent="0.3">
      <c r="A645" s="2">
        <v>45205</v>
      </c>
      <c r="B645" s="3" t="s">
        <v>23</v>
      </c>
      <c r="C645" s="3" t="s">
        <v>8</v>
      </c>
      <c r="D645" s="3" t="s">
        <v>15</v>
      </c>
      <c r="E645" s="3" t="s">
        <v>21</v>
      </c>
      <c r="F645" s="3" t="s">
        <v>26</v>
      </c>
      <c r="G645" s="3">
        <v>-1052.8</v>
      </c>
      <c r="H645" s="3">
        <v>-1022.5</v>
      </c>
      <c r="I645" s="3" t="s">
        <v>40</v>
      </c>
      <c r="J645" s="3">
        <v>10</v>
      </c>
      <c r="K645" s="5">
        <f>actual_vs_target_sales_dataset[[#This Row],[Sales_ Amount]]/actual_vs_target_sales_dataset[[#This Row],[Sales_Target]]</f>
        <v>1.0296332518337408</v>
      </c>
    </row>
    <row r="646" spans="1:11" x14ac:dyDescent="0.3">
      <c r="A646" s="2">
        <v>45206</v>
      </c>
      <c r="B646" s="3" t="s">
        <v>20</v>
      </c>
      <c r="C646" s="3" t="s">
        <v>14</v>
      </c>
      <c r="D646" s="3" t="s">
        <v>9</v>
      </c>
      <c r="E646" s="3" t="s">
        <v>10</v>
      </c>
      <c r="F646" s="3" t="s">
        <v>16</v>
      </c>
      <c r="G646" s="3">
        <v>1481.83</v>
      </c>
      <c r="H646" s="3">
        <v>1587.63</v>
      </c>
      <c r="I646" s="3" t="s">
        <v>40</v>
      </c>
      <c r="J646" s="3">
        <v>10</v>
      </c>
      <c r="K646" s="5">
        <f>actual_vs_target_sales_dataset[[#This Row],[Sales_ Amount]]/actual_vs_target_sales_dataset[[#This Row],[Sales_Target]]</f>
        <v>0.93335978785989171</v>
      </c>
    </row>
    <row r="647" spans="1:11" x14ac:dyDescent="0.3">
      <c r="A647" s="2">
        <v>45207</v>
      </c>
      <c r="B647" s="3" t="s">
        <v>23</v>
      </c>
      <c r="C647" s="3" t="s">
        <v>14</v>
      </c>
      <c r="D647" s="3" t="s">
        <v>24</v>
      </c>
      <c r="E647" s="3" t="s">
        <v>21</v>
      </c>
      <c r="F647" s="3" t="s">
        <v>11</v>
      </c>
      <c r="G647" s="3">
        <v>17864.349999999999</v>
      </c>
      <c r="H647" s="3">
        <v>18763.169999999998</v>
      </c>
      <c r="I647" s="3" t="s">
        <v>40</v>
      </c>
      <c r="J647" s="3">
        <v>10</v>
      </c>
      <c r="K647" s="5">
        <f>actual_vs_target_sales_dataset[[#This Row],[Sales_ Amount]]/actual_vs_target_sales_dataset[[#This Row],[Sales_Target]]</f>
        <v>0.9520965806950531</v>
      </c>
    </row>
    <row r="648" spans="1:11" x14ac:dyDescent="0.3">
      <c r="A648" s="2">
        <v>45208</v>
      </c>
      <c r="B648" s="3" t="s">
        <v>23</v>
      </c>
      <c r="C648" s="3" t="s">
        <v>22</v>
      </c>
      <c r="D648" s="3" t="s">
        <v>9</v>
      </c>
      <c r="E648" s="3" t="s">
        <v>19</v>
      </c>
      <c r="F648" s="3" t="s">
        <v>31</v>
      </c>
      <c r="G648" s="3">
        <v>-3337.11</v>
      </c>
      <c r="H648" s="3">
        <v>-3342.28</v>
      </c>
      <c r="I648" s="3" t="s">
        <v>40</v>
      </c>
      <c r="J648" s="3">
        <v>10</v>
      </c>
      <c r="K648" s="5">
        <f>actual_vs_target_sales_dataset[[#This Row],[Sales_ Amount]]/actual_vs_target_sales_dataset[[#This Row],[Sales_Target]]</f>
        <v>0.99845315174072791</v>
      </c>
    </row>
    <row r="649" spans="1:11" x14ac:dyDescent="0.3">
      <c r="A649" s="2">
        <v>45209</v>
      </c>
      <c r="B649" s="3" t="s">
        <v>20</v>
      </c>
      <c r="C649" s="3" t="s">
        <v>14</v>
      </c>
      <c r="D649" s="3" t="s">
        <v>9</v>
      </c>
      <c r="E649" s="3" t="s">
        <v>21</v>
      </c>
      <c r="F649" s="3" t="s">
        <v>29</v>
      </c>
      <c r="G649" s="3">
        <v>6462.41</v>
      </c>
      <c r="H649" s="3">
        <v>6127.22</v>
      </c>
      <c r="I649" s="3" t="s">
        <v>40</v>
      </c>
      <c r="J649" s="3">
        <v>10</v>
      </c>
      <c r="K649" s="5">
        <f>actual_vs_target_sales_dataset[[#This Row],[Sales_ Amount]]/actual_vs_target_sales_dataset[[#This Row],[Sales_Target]]</f>
        <v>1.0547050701623248</v>
      </c>
    </row>
    <row r="650" spans="1:11" x14ac:dyDescent="0.3">
      <c r="A650" s="2">
        <v>45210</v>
      </c>
      <c r="B650" s="3" t="s">
        <v>20</v>
      </c>
      <c r="C650" s="3" t="s">
        <v>25</v>
      </c>
      <c r="D650" s="3" t="s">
        <v>24</v>
      </c>
      <c r="E650" s="3" t="s">
        <v>21</v>
      </c>
      <c r="F650" s="3" t="s">
        <v>26</v>
      </c>
      <c r="G650" s="3">
        <v>8515.48</v>
      </c>
      <c r="H650" s="3">
        <v>8749.57</v>
      </c>
      <c r="I650" s="3" t="s">
        <v>40</v>
      </c>
      <c r="J650" s="3">
        <v>10</v>
      </c>
      <c r="K650" s="5">
        <f>actual_vs_target_sales_dataset[[#This Row],[Sales_ Amount]]/actual_vs_target_sales_dataset[[#This Row],[Sales_Target]]</f>
        <v>0.97324554235236704</v>
      </c>
    </row>
    <row r="651" spans="1:11" x14ac:dyDescent="0.3">
      <c r="A651" s="2">
        <v>45211</v>
      </c>
      <c r="B651" s="3" t="s">
        <v>20</v>
      </c>
      <c r="C651" s="3" t="s">
        <v>8</v>
      </c>
      <c r="D651" s="3" t="s">
        <v>24</v>
      </c>
      <c r="E651" s="3" t="s">
        <v>21</v>
      </c>
      <c r="F651" s="3" t="s">
        <v>16</v>
      </c>
      <c r="G651" s="3">
        <v>12122.53</v>
      </c>
      <c r="H651" s="3">
        <v>11303.7</v>
      </c>
      <c r="I651" s="3" t="s">
        <v>40</v>
      </c>
      <c r="J651" s="3">
        <v>10</v>
      </c>
      <c r="K651" s="5">
        <f>actual_vs_target_sales_dataset[[#This Row],[Sales_ Amount]]/actual_vs_target_sales_dataset[[#This Row],[Sales_Target]]</f>
        <v>1.0724391128568522</v>
      </c>
    </row>
    <row r="652" spans="1:11" x14ac:dyDescent="0.3">
      <c r="A652" s="2">
        <v>45212</v>
      </c>
      <c r="B652" s="3" t="s">
        <v>23</v>
      </c>
      <c r="C652" s="3" t="s">
        <v>22</v>
      </c>
      <c r="D652" s="3" t="s">
        <v>15</v>
      </c>
      <c r="E652" s="3" t="s">
        <v>10</v>
      </c>
      <c r="F652" s="3" t="s">
        <v>31</v>
      </c>
      <c r="G652" s="3">
        <v>7175.21</v>
      </c>
      <c r="H652" s="3">
        <v>7811.85</v>
      </c>
      <c r="I652" s="3" t="s">
        <v>40</v>
      </c>
      <c r="J652" s="3">
        <v>10</v>
      </c>
      <c r="K652" s="5">
        <f>actual_vs_target_sales_dataset[[#This Row],[Sales_ Amount]]/actual_vs_target_sales_dataset[[#This Row],[Sales_Target]]</f>
        <v>0.91850329947451625</v>
      </c>
    </row>
    <row r="653" spans="1:11" x14ac:dyDescent="0.3">
      <c r="A653" s="2">
        <v>45213</v>
      </c>
      <c r="B653" s="3" t="s">
        <v>13</v>
      </c>
      <c r="C653" s="3" t="s">
        <v>22</v>
      </c>
      <c r="D653" s="3" t="s">
        <v>18</v>
      </c>
      <c r="E653" s="3" t="s">
        <v>19</v>
      </c>
      <c r="F653" s="3" t="s">
        <v>16</v>
      </c>
      <c r="G653" s="3">
        <v>4128.45</v>
      </c>
      <c r="H653" s="3">
        <v>3987.1</v>
      </c>
      <c r="I653" s="3" t="s">
        <v>40</v>
      </c>
      <c r="J653" s="3">
        <v>10</v>
      </c>
      <c r="K653" s="5">
        <f>actual_vs_target_sales_dataset[[#This Row],[Sales_ Amount]]/actual_vs_target_sales_dataset[[#This Row],[Sales_Target]]</f>
        <v>1.0354518321587118</v>
      </c>
    </row>
    <row r="654" spans="1:11" x14ac:dyDescent="0.3">
      <c r="A654" s="2">
        <v>45214</v>
      </c>
      <c r="B654" s="3" t="s">
        <v>13</v>
      </c>
      <c r="C654" s="3" t="s">
        <v>14</v>
      </c>
      <c r="D654" s="3" t="s">
        <v>9</v>
      </c>
      <c r="E654" s="3" t="s">
        <v>21</v>
      </c>
      <c r="F654" s="3" t="s">
        <v>28</v>
      </c>
      <c r="G654" s="3">
        <v>-7347.36</v>
      </c>
      <c r="H654" s="3">
        <v>-7365.31</v>
      </c>
      <c r="I654" s="3" t="s">
        <v>40</v>
      </c>
      <c r="J654" s="3">
        <v>10</v>
      </c>
      <c r="K654" s="5">
        <f>actual_vs_target_sales_dataset[[#This Row],[Sales_ Amount]]/actual_vs_target_sales_dataset[[#This Row],[Sales_Target]]</f>
        <v>0.99756289959282085</v>
      </c>
    </row>
    <row r="655" spans="1:11" x14ac:dyDescent="0.3">
      <c r="A655" s="2">
        <v>45215</v>
      </c>
      <c r="B655" s="3" t="s">
        <v>17</v>
      </c>
      <c r="C655" s="3" t="s">
        <v>25</v>
      </c>
      <c r="D655" s="3" t="s">
        <v>9</v>
      </c>
      <c r="E655" s="3" t="s">
        <v>21</v>
      </c>
      <c r="F655" s="3" t="s">
        <v>11</v>
      </c>
      <c r="G655" s="3">
        <v>13740.46</v>
      </c>
      <c r="H655" s="3">
        <v>12967.49</v>
      </c>
      <c r="I655" s="3" t="s">
        <v>40</v>
      </c>
      <c r="J655" s="3">
        <v>10</v>
      </c>
      <c r="K655" s="5">
        <f>actual_vs_target_sales_dataset[[#This Row],[Sales_ Amount]]/actual_vs_target_sales_dataset[[#This Row],[Sales_Target]]</f>
        <v>1.0596082973651801</v>
      </c>
    </row>
    <row r="656" spans="1:11" x14ac:dyDescent="0.3">
      <c r="A656" s="2">
        <v>45216</v>
      </c>
      <c r="B656" s="3" t="s">
        <v>23</v>
      </c>
      <c r="C656" s="3" t="s">
        <v>25</v>
      </c>
      <c r="D656" s="3" t="s">
        <v>15</v>
      </c>
      <c r="E656" s="3" t="s">
        <v>21</v>
      </c>
      <c r="F656" s="3" t="s">
        <v>28</v>
      </c>
      <c r="G656" s="3">
        <v>17378.82</v>
      </c>
      <c r="H656" s="3">
        <v>17411.060000000001</v>
      </c>
      <c r="I656" s="3" t="s">
        <v>40</v>
      </c>
      <c r="J656" s="3">
        <v>10</v>
      </c>
      <c r="K656" s="5">
        <f>actual_vs_target_sales_dataset[[#This Row],[Sales_ Amount]]/actual_vs_target_sales_dataset[[#This Row],[Sales_Target]]</f>
        <v>0.99814830343471328</v>
      </c>
    </row>
    <row r="657" spans="1:11" x14ac:dyDescent="0.3">
      <c r="A657" s="2">
        <v>45217</v>
      </c>
      <c r="B657" s="3" t="s">
        <v>20</v>
      </c>
      <c r="C657" s="3" t="s">
        <v>25</v>
      </c>
      <c r="D657" s="3" t="s">
        <v>9</v>
      </c>
      <c r="E657" s="3" t="s">
        <v>10</v>
      </c>
      <c r="F657" s="3" t="s">
        <v>11</v>
      </c>
      <c r="G657" s="3">
        <v>4399.21</v>
      </c>
      <c r="H657" s="3">
        <v>4351.71</v>
      </c>
      <c r="I657" s="3" t="s">
        <v>40</v>
      </c>
      <c r="J657" s="3">
        <v>10</v>
      </c>
      <c r="K657" s="5">
        <f>actual_vs_target_sales_dataset[[#This Row],[Sales_ Amount]]/actual_vs_target_sales_dataset[[#This Row],[Sales_Target]]</f>
        <v>1.0109152494077041</v>
      </c>
    </row>
    <row r="658" spans="1:11" x14ac:dyDescent="0.3">
      <c r="A658" s="2">
        <v>45218</v>
      </c>
      <c r="B658" s="3" t="s">
        <v>23</v>
      </c>
      <c r="C658" s="3" t="s">
        <v>22</v>
      </c>
      <c r="D658" s="3" t="s">
        <v>24</v>
      </c>
      <c r="E658" s="3" t="s">
        <v>10</v>
      </c>
      <c r="F658" s="3" t="s">
        <v>30</v>
      </c>
      <c r="G658" s="3">
        <v>2827.07</v>
      </c>
      <c r="H658" s="3">
        <v>2282.9299999999998</v>
      </c>
      <c r="I658" s="3" t="s">
        <v>40</v>
      </c>
      <c r="J658" s="3">
        <v>10</v>
      </c>
      <c r="K658" s="5">
        <f>actual_vs_target_sales_dataset[[#This Row],[Sales_ Amount]]/actual_vs_target_sales_dataset[[#This Row],[Sales_Target]]</f>
        <v>1.2383515920330455</v>
      </c>
    </row>
    <row r="659" spans="1:11" x14ac:dyDescent="0.3">
      <c r="A659" s="2">
        <v>45219</v>
      </c>
      <c r="B659" s="3" t="s">
        <v>7</v>
      </c>
      <c r="C659" s="3" t="s">
        <v>25</v>
      </c>
      <c r="D659" s="3" t="s">
        <v>18</v>
      </c>
      <c r="E659" s="3" t="s">
        <v>10</v>
      </c>
      <c r="F659" s="3" t="s">
        <v>27</v>
      </c>
      <c r="G659" s="3">
        <v>-6164.91</v>
      </c>
      <c r="H659" s="3">
        <v>-6263.92</v>
      </c>
      <c r="I659" s="3" t="s">
        <v>40</v>
      </c>
      <c r="J659" s="3">
        <v>10</v>
      </c>
      <c r="K659" s="5">
        <f>actual_vs_target_sales_dataset[[#This Row],[Sales_ Amount]]/actual_vs_target_sales_dataset[[#This Row],[Sales_Target]]</f>
        <v>0.98419360400515965</v>
      </c>
    </row>
    <row r="660" spans="1:11" x14ac:dyDescent="0.3">
      <c r="A660" s="2">
        <v>45220</v>
      </c>
      <c r="B660" s="3" t="s">
        <v>17</v>
      </c>
      <c r="C660" s="3" t="s">
        <v>8</v>
      </c>
      <c r="D660" s="3" t="s">
        <v>9</v>
      </c>
      <c r="E660" s="3" t="s">
        <v>21</v>
      </c>
      <c r="F660" s="3" t="s">
        <v>11</v>
      </c>
      <c r="G660" s="3">
        <v>6289.02</v>
      </c>
      <c r="H660" s="3">
        <v>5886.81</v>
      </c>
      <c r="I660" s="3" t="s">
        <v>40</v>
      </c>
      <c r="J660" s="3">
        <v>10</v>
      </c>
      <c r="K660" s="5">
        <f>actual_vs_target_sales_dataset[[#This Row],[Sales_ Amount]]/actual_vs_target_sales_dataset[[#This Row],[Sales_Target]]</f>
        <v>1.0683239309575134</v>
      </c>
    </row>
    <row r="661" spans="1:11" x14ac:dyDescent="0.3">
      <c r="A661" s="2">
        <v>45221</v>
      </c>
      <c r="B661" s="3" t="s">
        <v>23</v>
      </c>
      <c r="C661" s="3" t="s">
        <v>14</v>
      </c>
      <c r="D661" s="3" t="s">
        <v>18</v>
      </c>
      <c r="E661" s="3" t="s">
        <v>10</v>
      </c>
      <c r="F661" s="3" t="s">
        <v>28</v>
      </c>
      <c r="G661" s="3">
        <v>-1611.26</v>
      </c>
      <c r="H661" s="3">
        <v>-1719.43</v>
      </c>
      <c r="I661" s="3" t="s">
        <v>40</v>
      </c>
      <c r="J661" s="3">
        <v>10</v>
      </c>
      <c r="K661" s="5">
        <f>actual_vs_target_sales_dataset[[#This Row],[Sales_ Amount]]/actual_vs_target_sales_dataset[[#This Row],[Sales_Target]]</f>
        <v>0.9370896169079288</v>
      </c>
    </row>
    <row r="662" spans="1:11" x14ac:dyDescent="0.3">
      <c r="A662" s="2">
        <v>45222</v>
      </c>
      <c r="B662" s="3" t="s">
        <v>20</v>
      </c>
      <c r="C662" s="3" t="s">
        <v>14</v>
      </c>
      <c r="D662" s="3" t="s">
        <v>24</v>
      </c>
      <c r="E662" s="3" t="s">
        <v>19</v>
      </c>
      <c r="F662" s="3" t="s">
        <v>31</v>
      </c>
      <c r="G662" s="3">
        <v>13249.36</v>
      </c>
      <c r="H662" s="3">
        <v>13276.51</v>
      </c>
      <c r="I662" s="3" t="s">
        <v>40</v>
      </c>
      <c r="J662" s="3">
        <v>10</v>
      </c>
      <c r="K662" s="5">
        <f>actual_vs_target_sales_dataset[[#This Row],[Sales_ Amount]]/actual_vs_target_sales_dataset[[#This Row],[Sales_Target]]</f>
        <v>0.99795503486985659</v>
      </c>
    </row>
    <row r="663" spans="1:11" x14ac:dyDescent="0.3">
      <c r="A663" s="2">
        <v>45223</v>
      </c>
      <c r="B663" s="3" t="s">
        <v>23</v>
      </c>
      <c r="C663" s="3" t="s">
        <v>14</v>
      </c>
      <c r="D663" s="3" t="s">
        <v>15</v>
      </c>
      <c r="E663" s="3" t="s">
        <v>19</v>
      </c>
      <c r="F663" s="3" t="s">
        <v>27</v>
      </c>
      <c r="G663" s="3">
        <v>4761.87</v>
      </c>
      <c r="H663" s="3">
        <v>4722.05</v>
      </c>
      <c r="I663" s="3" t="s">
        <v>40</v>
      </c>
      <c r="J663" s="3">
        <v>10</v>
      </c>
      <c r="K663" s="5">
        <f>actual_vs_target_sales_dataset[[#This Row],[Sales_ Amount]]/actual_vs_target_sales_dataset[[#This Row],[Sales_Target]]</f>
        <v>1.0084327781366142</v>
      </c>
    </row>
    <row r="664" spans="1:11" x14ac:dyDescent="0.3">
      <c r="A664" s="2">
        <v>45224</v>
      </c>
      <c r="B664" s="3" t="s">
        <v>23</v>
      </c>
      <c r="C664" s="3" t="s">
        <v>8</v>
      </c>
      <c r="D664" s="3" t="s">
        <v>24</v>
      </c>
      <c r="E664" s="3" t="s">
        <v>21</v>
      </c>
      <c r="F664" s="3" t="s">
        <v>30</v>
      </c>
      <c r="G664" s="3">
        <v>5436.41</v>
      </c>
      <c r="H664" s="3">
        <v>4747.1899999999996</v>
      </c>
      <c r="I664" s="3" t="s">
        <v>40</v>
      </c>
      <c r="J664" s="3">
        <v>10</v>
      </c>
      <c r="K664" s="5">
        <f>actual_vs_target_sales_dataset[[#This Row],[Sales_ Amount]]/actual_vs_target_sales_dataset[[#This Row],[Sales_Target]]</f>
        <v>1.1451848356606751</v>
      </c>
    </row>
    <row r="665" spans="1:11" x14ac:dyDescent="0.3">
      <c r="A665" s="2">
        <v>45225</v>
      </c>
      <c r="B665" s="3" t="s">
        <v>23</v>
      </c>
      <c r="C665" s="3" t="s">
        <v>25</v>
      </c>
      <c r="D665" s="3" t="s">
        <v>15</v>
      </c>
      <c r="E665" s="3" t="s">
        <v>10</v>
      </c>
      <c r="F665" s="3" t="s">
        <v>16</v>
      </c>
      <c r="G665" s="3">
        <v>13977.73</v>
      </c>
      <c r="H665" s="3">
        <v>13530.94</v>
      </c>
      <c r="I665" s="3" t="s">
        <v>40</v>
      </c>
      <c r="J665" s="3">
        <v>10</v>
      </c>
      <c r="K665" s="5">
        <f>actual_vs_target_sales_dataset[[#This Row],[Sales_ Amount]]/actual_vs_target_sales_dataset[[#This Row],[Sales_Target]]</f>
        <v>1.0330198788849849</v>
      </c>
    </row>
    <row r="666" spans="1:11" x14ac:dyDescent="0.3">
      <c r="A666" s="2">
        <v>45226</v>
      </c>
      <c r="B666" s="3" t="s">
        <v>23</v>
      </c>
      <c r="C666" s="3" t="s">
        <v>8</v>
      </c>
      <c r="D666" s="3" t="s">
        <v>18</v>
      </c>
      <c r="E666" s="3" t="s">
        <v>19</v>
      </c>
      <c r="F666" s="3" t="s">
        <v>29</v>
      </c>
      <c r="G666" s="3">
        <v>5626.38</v>
      </c>
      <c r="H666" s="3">
        <v>5529.38</v>
      </c>
      <c r="I666" s="3" t="s">
        <v>40</v>
      </c>
      <c r="J666" s="3">
        <v>10</v>
      </c>
      <c r="K666" s="5">
        <f>actual_vs_target_sales_dataset[[#This Row],[Sales_ Amount]]/actual_vs_target_sales_dataset[[#This Row],[Sales_Target]]</f>
        <v>1.0175426539684378</v>
      </c>
    </row>
    <row r="667" spans="1:11" x14ac:dyDescent="0.3">
      <c r="A667" s="2">
        <v>45227</v>
      </c>
      <c r="B667" s="3" t="s">
        <v>13</v>
      </c>
      <c r="C667" s="3" t="s">
        <v>22</v>
      </c>
      <c r="D667" s="3" t="s">
        <v>24</v>
      </c>
      <c r="E667" s="3" t="s">
        <v>19</v>
      </c>
      <c r="F667" s="3" t="s">
        <v>29</v>
      </c>
      <c r="G667" s="3">
        <v>5883.77</v>
      </c>
      <c r="H667" s="3">
        <v>5750.22</v>
      </c>
      <c r="I667" s="3" t="s">
        <v>40</v>
      </c>
      <c r="J667" s="3">
        <v>10</v>
      </c>
      <c r="K667" s="5">
        <f>actual_vs_target_sales_dataset[[#This Row],[Sales_ Amount]]/actual_vs_target_sales_dataset[[#This Row],[Sales_Target]]</f>
        <v>1.0232251983402374</v>
      </c>
    </row>
    <row r="668" spans="1:11" x14ac:dyDescent="0.3">
      <c r="A668" s="2">
        <v>45228</v>
      </c>
      <c r="B668" s="3" t="s">
        <v>23</v>
      </c>
      <c r="C668" s="3" t="s">
        <v>8</v>
      </c>
      <c r="D668" s="3" t="s">
        <v>18</v>
      </c>
      <c r="E668" s="3" t="s">
        <v>19</v>
      </c>
      <c r="F668" s="3" t="s">
        <v>27</v>
      </c>
      <c r="G668" s="3">
        <v>12618.31</v>
      </c>
      <c r="H668" s="3">
        <v>11055.09</v>
      </c>
      <c r="I668" s="3" t="s">
        <v>40</v>
      </c>
      <c r="J668" s="3">
        <v>10</v>
      </c>
      <c r="K668" s="5">
        <f>actual_vs_target_sales_dataset[[#This Row],[Sales_ Amount]]/actual_vs_target_sales_dataset[[#This Row],[Sales_Target]]</f>
        <v>1.1414027384670771</v>
      </c>
    </row>
    <row r="669" spans="1:11" x14ac:dyDescent="0.3">
      <c r="A669" s="2">
        <v>45229</v>
      </c>
      <c r="B669" s="3" t="s">
        <v>13</v>
      </c>
      <c r="C669" s="3" t="s">
        <v>14</v>
      </c>
      <c r="D669" s="3" t="s">
        <v>24</v>
      </c>
      <c r="E669" s="3" t="s">
        <v>19</v>
      </c>
      <c r="F669" s="3" t="s">
        <v>31</v>
      </c>
      <c r="G669" s="3">
        <v>9651.42</v>
      </c>
      <c r="H669" s="3">
        <v>9782.83</v>
      </c>
      <c r="I669" s="3" t="s">
        <v>40</v>
      </c>
      <c r="J669" s="3">
        <v>10</v>
      </c>
      <c r="K669" s="5">
        <f>actual_vs_target_sales_dataset[[#This Row],[Sales_ Amount]]/actual_vs_target_sales_dataset[[#This Row],[Sales_Target]]</f>
        <v>0.98656728165571728</v>
      </c>
    </row>
    <row r="670" spans="1:11" x14ac:dyDescent="0.3">
      <c r="A670" s="2">
        <v>45230</v>
      </c>
      <c r="B670" s="3" t="s">
        <v>7</v>
      </c>
      <c r="C670" s="3" t="s">
        <v>22</v>
      </c>
      <c r="D670" s="3" t="s">
        <v>9</v>
      </c>
      <c r="E670" s="3" t="s">
        <v>21</v>
      </c>
      <c r="F670" s="3" t="s">
        <v>31</v>
      </c>
      <c r="G670" s="3">
        <v>3363.61</v>
      </c>
      <c r="H670" s="3">
        <v>3143.64</v>
      </c>
      <c r="I670" s="3" t="s">
        <v>40</v>
      </c>
      <c r="J670" s="3">
        <v>10</v>
      </c>
      <c r="K670" s="5">
        <f>actual_vs_target_sales_dataset[[#This Row],[Sales_ Amount]]/actual_vs_target_sales_dataset[[#This Row],[Sales_Target]]</f>
        <v>1.0699730249010702</v>
      </c>
    </row>
    <row r="671" spans="1:11" x14ac:dyDescent="0.3">
      <c r="A671" s="2">
        <v>45231</v>
      </c>
      <c r="B671" s="3" t="s">
        <v>17</v>
      </c>
      <c r="C671" s="3" t="s">
        <v>8</v>
      </c>
      <c r="D671" s="3" t="s">
        <v>15</v>
      </c>
      <c r="E671" s="3" t="s">
        <v>10</v>
      </c>
      <c r="F671" s="3" t="s">
        <v>26</v>
      </c>
      <c r="G671" s="3">
        <v>3025.09</v>
      </c>
      <c r="H671" s="3">
        <v>3150.68</v>
      </c>
      <c r="I671" s="3" t="s">
        <v>41</v>
      </c>
      <c r="J671" s="3">
        <v>11</v>
      </c>
      <c r="K671" s="5">
        <f>actual_vs_target_sales_dataset[[#This Row],[Sales_ Amount]]/actual_vs_target_sales_dataset[[#This Row],[Sales_Target]]</f>
        <v>0.96013876369545637</v>
      </c>
    </row>
    <row r="672" spans="1:11" x14ac:dyDescent="0.3">
      <c r="A672" s="2">
        <v>45232</v>
      </c>
      <c r="B672" s="3" t="s">
        <v>7</v>
      </c>
      <c r="C672" s="3" t="s">
        <v>14</v>
      </c>
      <c r="D672" s="3" t="s">
        <v>15</v>
      </c>
      <c r="E672" s="3" t="s">
        <v>10</v>
      </c>
      <c r="F672" s="3" t="s">
        <v>29</v>
      </c>
      <c r="G672" s="3">
        <v>9379.86</v>
      </c>
      <c r="H672" s="3">
        <v>10030.540000000001</v>
      </c>
      <c r="I672" s="3" t="s">
        <v>41</v>
      </c>
      <c r="J672" s="3">
        <v>11</v>
      </c>
      <c r="K672" s="5">
        <f>actual_vs_target_sales_dataset[[#This Row],[Sales_ Amount]]/actual_vs_target_sales_dataset[[#This Row],[Sales_Target]]</f>
        <v>0.93513011263600965</v>
      </c>
    </row>
    <row r="673" spans="1:11" x14ac:dyDescent="0.3">
      <c r="A673" s="2">
        <v>45233</v>
      </c>
      <c r="B673" s="3" t="s">
        <v>17</v>
      </c>
      <c r="C673" s="3" t="s">
        <v>8</v>
      </c>
      <c r="D673" s="3" t="s">
        <v>15</v>
      </c>
      <c r="E673" s="3" t="s">
        <v>10</v>
      </c>
      <c r="F673" s="3" t="s">
        <v>11</v>
      </c>
      <c r="G673" s="3">
        <v>12168.58</v>
      </c>
      <c r="H673" s="3">
        <v>12251.4</v>
      </c>
      <c r="I673" s="3" t="s">
        <v>41</v>
      </c>
      <c r="J673" s="3">
        <v>11</v>
      </c>
      <c r="K673" s="5">
        <f>actual_vs_target_sales_dataset[[#This Row],[Sales_ Amount]]/actual_vs_target_sales_dataset[[#This Row],[Sales_Target]]</f>
        <v>0.99323995624989803</v>
      </c>
    </row>
    <row r="674" spans="1:11" x14ac:dyDescent="0.3">
      <c r="A674" s="2">
        <v>45234</v>
      </c>
      <c r="B674" s="3" t="s">
        <v>17</v>
      </c>
      <c r="C674" s="3" t="s">
        <v>14</v>
      </c>
      <c r="D674" s="3" t="s">
        <v>9</v>
      </c>
      <c r="E674" s="3" t="s">
        <v>19</v>
      </c>
      <c r="F674" s="3" t="s">
        <v>29</v>
      </c>
      <c r="G674" s="3">
        <v>6304.48</v>
      </c>
      <c r="H674" s="3">
        <v>6951.34</v>
      </c>
      <c r="I674" s="3" t="s">
        <v>41</v>
      </c>
      <c r="J674" s="3">
        <v>11</v>
      </c>
      <c r="K674" s="5">
        <f>actual_vs_target_sales_dataset[[#This Row],[Sales_ Amount]]/actual_vs_target_sales_dataset[[#This Row],[Sales_Target]]</f>
        <v>0.90694456032937532</v>
      </c>
    </row>
    <row r="675" spans="1:11" x14ac:dyDescent="0.3">
      <c r="A675" s="2">
        <v>45235</v>
      </c>
      <c r="B675" s="3" t="s">
        <v>17</v>
      </c>
      <c r="C675" s="3" t="s">
        <v>25</v>
      </c>
      <c r="D675" s="3" t="s">
        <v>9</v>
      </c>
      <c r="E675" s="3" t="s">
        <v>10</v>
      </c>
      <c r="F675" s="3" t="s">
        <v>29</v>
      </c>
      <c r="G675" s="3">
        <v>9630.7000000000007</v>
      </c>
      <c r="H675" s="3">
        <v>9800.56</v>
      </c>
      <c r="I675" s="3" t="s">
        <v>41</v>
      </c>
      <c r="J675" s="3">
        <v>11</v>
      </c>
      <c r="K675" s="5">
        <f>actual_vs_target_sales_dataset[[#This Row],[Sales_ Amount]]/actual_vs_target_sales_dataset[[#This Row],[Sales_Target]]</f>
        <v>0.98266833731950021</v>
      </c>
    </row>
    <row r="676" spans="1:11" x14ac:dyDescent="0.3">
      <c r="A676" s="2">
        <v>45236</v>
      </c>
      <c r="B676" s="3" t="s">
        <v>23</v>
      </c>
      <c r="C676" s="3" t="s">
        <v>25</v>
      </c>
      <c r="D676" s="3" t="s">
        <v>24</v>
      </c>
      <c r="E676" s="3" t="s">
        <v>10</v>
      </c>
      <c r="F676" s="3" t="s">
        <v>16</v>
      </c>
      <c r="G676" s="3">
        <v>747.39</v>
      </c>
      <c r="H676" s="3">
        <v>832.56</v>
      </c>
      <c r="I676" s="3" t="s">
        <v>41</v>
      </c>
      <c r="J676" s="3">
        <v>11</v>
      </c>
      <c r="K676" s="5">
        <f>actual_vs_target_sales_dataset[[#This Row],[Sales_ Amount]]/actual_vs_target_sales_dataset[[#This Row],[Sales_Target]]</f>
        <v>0.89770106658979543</v>
      </c>
    </row>
    <row r="677" spans="1:11" x14ac:dyDescent="0.3">
      <c r="A677" s="2">
        <v>45237</v>
      </c>
      <c r="B677" s="3" t="s">
        <v>20</v>
      </c>
      <c r="C677" s="3" t="s">
        <v>25</v>
      </c>
      <c r="D677" s="3" t="s">
        <v>24</v>
      </c>
      <c r="E677" s="3" t="s">
        <v>19</v>
      </c>
      <c r="F677" s="3" t="s">
        <v>26</v>
      </c>
      <c r="G677" s="3">
        <v>-5455.01</v>
      </c>
      <c r="H677" s="3">
        <v>-6246.28</v>
      </c>
      <c r="I677" s="3" t="s">
        <v>41</v>
      </c>
      <c r="J677" s="3">
        <v>11</v>
      </c>
      <c r="K677" s="5">
        <f>actual_vs_target_sales_dataset[[#This Row],[Sales_ Amount]]/actual_vs_target_sales_dataset[[#This Row],[Sales_Target]]</f>
        <v>0.8733214008978144</v>
      </c>
    </row>
    <row r="678" spans="1:11" x14ac:dyDescent="0.3">
      <c r="A678" s="2">
        <v>45238</v>
      </c>
      <c r="B678" s="3" t="s">
        <v>7</v>
      </c>
      <c r="C678" s="3" t="s">
        <v>8</v>
      </c>
      <c r="D678" s="3" t="s">
        <v>24</v>
      </c>
      <c r="E678" s="3" t="s">
        <v>19</v>
      </c>
      <c r="F678" s="3" t="s">
        <v>26</v>
      </c>
      <c r="G678" s="3">
        <v>7815.08</v>
      </c>
      <c r="H678" s="3">
        <v>6829.47</v>
      </c>
      <c r="I678" s="3" t="s">
        <v>41</v>
      </c>
      <c r="J678" s="3">
        <v>11</v>
      </c>
      <c r="K678" s="5">
        <f>actual_vs_target_sales_dataset[[#This Row],[Sales_ Amount]]/actual_vs_target_sales_dataset[[#This Row],[Sales_Target]]</f>
        <v>1.1443172017740761</v>
      </c>
    </row>
    <row r="679" spans="1:11" x14ac:dyDescent="0.3">
      <c r="A679" s="2">
        <v>45239</v>
      </c>
      <c r="B679" s="3" t="s">
        <v>7</v>
      </c>
      <c r="C679" s="3" t="s">
        <v>8</v>
      </c>
      <c r="D679" s="3" t="s">
        <v>15</v>
      </c>
      <c r="E679" s="3" t="s">
        <v>19</v>
      </c>
      <c r="F679" s="3" t="s">
        <v>30</v>
      </c>
      <c r="G679" s="3">
        <v>10335.4</v>
      </c>
      <c r="H679" s="3">
        <v>10605.14</v>
      </c>
      <c r="I679" s="3" t="s">
        <v>41</v>
      </c>
      <c r="J679" s="3">
        <v>11</v>
      </c>
      <c r="K679" s="5">
        <f>actual_vs_target_sales_dataset[[#This Row],[Sales_ Amount]]/actual_vs_target_sales_dataset[[#This Row],[Sales_Target]]</f>
        <v>0.9745651636847793</v>
      </c>
    </row>
    <row r="680" spans="1:11" x14ac:dyDescent="0.3">
      <c r="A680" s="2">
        <v>45240</v>
      </c>
      <c r="B680" s="3" t="s">
        <v>23</v>
      </c>
      <c r="C680" s="3" t="s">
        <v>25</v>
      </c>
      <c r="D680" s="3" t="s">
        <v>24</v>
      </c>
      <c r="E680" s="3" t="s">
        <v>19</v>
      </c>
      <c r="F680" s="3" t="s">
        <v>26</v>
      </c>
      <c r="G680" s="3">
        <v>14313.02</v>
      </c>
      <c r="H680" s="3">
        <v>14470.1</v>
      </c>
      <c r="I680" s="3" t="s">
        <v>41</v>
      </c>
      <c r="J680" s="3">
        <v>11</v>
      </c>
      <c r="K680" s="5">
        <f>actual_vs_target_sales_dataset[[#This Row],[Sales_ Amount]]/actual_vs_target_sales_dataset[[#This Row],[Sales_Target]]</f>
        <v>0.9891445117863733</v>
      </c>
    </row>
    <row r="681" spans="1:11" x14ac:dyDescent="0.3">
      <c r="A681" s="2">
        <v>45241</v>
      </c>
      <c r="B681" s="3" t="s">
        <v>20</v>
      </c>
      <c r="C681" s="3" t="s">
        <v>14</v>
      </c>
      <c r="D681" s="3" t="s">
        <v>18</v>
      </c>
      <c r="E681" s="3" t="s">
        <v>21</v>
      </c>
      <c r="F681" s="3" t="s">
        <v>26</v>
      </c>
      <c r="G681" s="3">
        <v>11522.87</v>
      </c>
      <c r="H681" s="3">
        <v>11641.28</v>
      </c>
      <c r="I681" s="3" t="s">
        <v>41</v>
      </c>
      <c r="J681" s="3">
        <v>11</v>
      </c>
      <c r="K681" s="5">
        <f>actual_vs_target_sales_dataset[[#This Row],[Sales_ Amount]]/actual_vs_target_sales_dataset[[#This Row],[Sales_Target]]</f>
        <v>0.98982843810989862</v>
      </c>
    </row>
    <row r="682" spans="1:11" x14ac:dyDescent="0.3">
      <c r="A682" s="2">
        <v>45242</v>
      </c>
      <c r="B682" s="3" t="s">
        <v>7</v>
      </c>
      <c r="C682" s="3" t="s">
        <v>8</v>
      </c>
      <c r="D682" s="3" t="s">
        <v>24</v>
      </c>
      <c r="E682" s="3" t="s">
        <v>19</v>
      </c>
      <c r="F682" s="3" t="s">
        <v>31</v>
      </c>
      <c r="G682" s="3">
        <v>2788.59</v>
      </c>
      <c r="H682" s="3">
        <v>3250</v>
      </c>
      <c r="I682" s="3" t="s">
        <v>41</v>
      </c>
      <c r="J682" s="3">
        <v>11</v>
      </c>
      <c r="K682" s="5">
        <f>actual_vs_target_sales_dataset[[#This Row],[Sales_ Amount]]/actual_vs_target_sales_dataset[[#This Row],[Sales_Target]]</f>
        <v>0.85802769230769238</v>
      </c>
    </row>
    <row r="683" spans="1:11" x14ac:dyDescent="0.3">
      <c r="A683" s="2">
        <v>45243</v>
      </c>
      <c r="B683" s="3" t="s">
        <v>20</v>
      </c>
      <c r="C683" s="3" t="s">
        <v>14</v>
      </c>
      <c r="D683" s="3" t="s">
        <v>24</v>
      </c>
      <c r="E683" s="3" t="s">
        <v>10</v>
      </c>
      <c r="F683" s="3" t="s">
        <v>29</v>
      </c>
      <c r="G683" s="3">
        <v>7507.83</v>
      </c>
      <c r="H683" s="3">
        <v>7758.89</v>
      </c>
      <c r="I683" s="3" t="s">
        <v>41</v>
      </c>
      <c r="J683" s="3">
        <v>11</v>
      </c>
      <c r="K683" s="5">
        <f>actual_vs_target_sales_dataset[[#This Row],[Sales_ Amount]]/actual_vs_target_sales_dataset[[#This Row],[Sales_Target]]</f>
        <v>0.96764227872801389</v>
      </c>
    </row>
    <row r="684" spans="1:11" x14ac:dyDescent="0.3">
      <c r="A684" s="2">
        <v>45244</v>
      </c>
      <c r="B684" s="3" t="s">
        <v>20</v>
      </c>
      <c r="C684" s="3" t="s">
        <v>22</v>
      </c>
      <c r="D684" s="3" t="s">
        <v>9</v>
      </c>
      <c r="E684" s="3" t="s">
        <v>10</v>
      </c>
      <c r="F684" s="3" t="s">
        <v>29</v>
      </c>
      <c r="G684" s="3">
        <v>-3938.6</v>
      </c>
      <c r="H684" s="3">
        <v>-3715.42</v>
      </c>
      <c r="I684" s="3" t="s">
        <v>41</v>
      </c>
      <c r="J684" s="3">
        <v>11</v>
      </c>
      <c r="K684" s="5">
        <f>actual_vs_target_sales_dataset[[#This Row],[Sales_ Amount]]/actual_vs_target_sales_dataset[[#This Row],[Sales_Target]]</f>
        <v>1.060068579057011</v>
      </c>
    </row>
    <row r="685" spans="1:11" x14ac:dyDescent="0.3">
      <c r="A685" s="2">
        <v>45245</v>
      </c>
      <c r="B685" s="3" t="s">
        <v>17</v>
      </c>
      <c r="C685" s="3" t="s">
        <v>25</v>
      </c>
      <c r="D685" s="3" t="s">
        <v>9</v>
      </c>
      <c r="E685" s="3" t="s">
        <v>21</v>
      </c>
      <c r="F685" s="3" t="s">
        <v>27</v>
      </c>
      <c r="G685" s="3">
        <v>458.32</v>
      </c>
      <c r="H685" s="3">
        <v>405.59</v>
      </c>
      <c r="I685" s="3" t="s">
        <v>41</v>
      </c>
      <c r="J685" s="3">
        <v>11</v>
      </c>
      <c r="K685" s="5">
        <f>actual_vs_target_sales_dataset[[#This Row],[Sales_ Amount]]/actual_vs_target_sales_dataset[[#This Row],[Sales_Target]]</f>
        <v>1.1300081362952736</v>
      </c>
    </row>
    <row r="686" spans="1:11" x14ac:dyDescent="0.3">
      <c r="A686" s="2">
        <v>45246</v>
      </c>
      <c r="B686" s="3" t="s">
        <v>13</v>
      </c>
      <c r="C686" s="3" t="s">
        <v>14</v>
      </c>
      <c r="D686" s="3" t="s">
        <v>24</v>
      </c>
      <c r="E686" s="3" t="s">
        <v>19</v>
      </c>
      <c r="F686" s="3" t="s">
        <v>29</v>
      </c>
      <c r="G686" s="3">
        <v>-2548.31</v>
      </c>
      <c r="H686" s="3">
        <v>-2621.88</v>
      </c>
      <c r="I686" s="3" t="s">
        <v>41</v>
      </c>
      <c r="J686" s="3">
        <v>11</v>
      </c>
      <c r="K686" s="5">
        <f>actual_vs_target_sales_dataset[[#This Row],[Sales_ Amount]]/actual_vs_target_sales_dataset[[#This Row],[Sales_Target]]</f>
        <v>0.97193998199765053</v>
      </c>
    </row>
    <row r="687" spans="1:11" x14ac:dyDescent="0.3">
      <c r="A687" s="2">
        <v>45247</v>
      </c>
      <c r="B687" s="3" t="s">
        <v>7</v>
      </c>
      <c r="C687" s="3" t="s">
        <v>8</v>
      </c>
      <c r="D687" s="3" t="s">
        <v>18</v>
      </c>
      <c r="E687" s="3" t="s">
        <v>19</v>
      </c>
      <c r="F687" s="3" t="s">
        <v>28</v>
      </c>
      <c r="G687" s="3">
        <v>7466.14</v>
      </c>
      <c r="H687" s="3">
        <v>8457.35</v>
      </c>
      <c r="I687" s="3" t="s">
        <v>41</v>
      </c>
      <c r="J687" s="3">
        <v>11</v>
      </c>
      <c r="K687" s="5">
        <f>actual_vs_target_sales_dataset[[#This Row],[Sales_ Amount]]/actual_vs_target_sales_dataset[[#This Row],[Sales_Target]]</f>
        <v>0.88279898549782143</v>
      </c>
    </row>
    <row r="688" spans="1:11" x14ac:dyDescent="0.3">
      <c r="A688" s="2">
        <v>45248</v>
      </c>
      <c r="B688" s="3" t="s">
        <v>13</v>
      </c>
      <c r="C688" s="3" t="s">
        <v>8</v>
      </c>
      <c r="D688" s="3" t="s">
        <v>24</v>
      </c>
      <c r="E688" s="3" t="s">
        <v>19</v>
      </c>
      <c r="F688" s="3" t="s">
        <v>30</v>
      </c>
      <c r="G688" s="3">
        <v>6250.57</v>
      </c>
      <c r="H688" s="3">
        <v>7319.59</v>
      </c>
      <c r="I688" s="3" t="s">
        <v>41</v>
      </c>
      <c r="J688" s="3">
        <v>11</v>
      </c>
      <c r="K688" s="5">
        <f>actual_vs_target_sales_dataset[[#This Row],[Sales_ Amount]]/actual_vs_target_sales_dataset[[#This Row],[Sales_Target]]</f>
        <v>0.85395083604409527</v>
      </c>
    </row>
    <row r="689" spans="1:11" x14ac:dyDescent="0.3">
      <c r="A689" s="2">
        <v>45249</v>
      </c>
      <c r="B689" s="3" t="s">
        <v>23</v>
      </c>
      <c r="C689" s="3" t="s">
        <v>8</v>
      </c>
      <c r="D689" s="3" t="s">
        <v>24</v>
      </c>
      <c r="E689" s="3" t="s">
        <v>10</v>
      </c>
      <c r="F689" s="3" t="s">
        <v>11</v>
      </c>
      <c r="G689" s="3">
        <v>15098.99</v>
      </c>
      <c r="H689" s="3">
        <v>14615.65</v>
      </c>
      <c r="I689" s="3" t="s">
        <v>41</v>
      </c>
      <c r="J689" s="3">
        <v>11</v>
      </c>
      <c r="K689" s="5">
        <f>actual_vs_target_sales_dataset[[#This Row],[Sales_ Amount]]/actual_vs_target_sales_dataset[[#This Row],[Sales_Target]]</f>
        <v>1.0330700310968037</v>
      </c>
    </row>
    <row r="690" spans="1:11" x14ac:dyDescent="0.3">
      <c r="A690" s="2">
        <v>45250</v>
      </c>
      <c r="B690" s="3" t="s">
        <v>7</v>
      </c>
      <c r="C690" s="3" t="s">
        <v>25</v>
      </c>
      <c r="D690" s="3" t="s">
        <v>18</v>
      </c>
      <c r="E690" s="3" t="s">
        <v>19</v>
      </c>
      <c r="F690" s="3" t="s">
        <v>11</v>
      </c>
      <c r="G690" s="3">
        <v>11483.9</v>
      </c>
      <c r="H690" s="3">
        <v>11363.11</v>
      </c>
      <c r="I690" s="3" t="s">
        <v>41</v>
      </c>
      <c r="J690" s="3">
        <v>11</v>
      </c>
      <c r="K690" s="5">
        <f>actual_vs_target_sales_dataset[[#This Row],[Sales_ Amount]]/actual_vs_target_sales_dataset[[#This Row],[Sales_Target]]</f>
        <v>1.0106300123821734</v>
      </c>
    </row>
    <row r="691" spans="1:11" x14ac:dyDescent="0.3">
      <c r="A691" s="2">
        <v>45251</v>
      </c>
      <c r="B691" s="3" t="s">
        <v>20</v>
      </c>
      <c r="C691" s="3" t="s">
        <v>25</v>
      </c>
      <c r="D691" s="3" t="s">
        <v>18</v>
      </c>
      <c r="E691" s="3" t="s">
        <v>10</v>
      </c>
      <c r="F691" s="3" t="s">
        <v>26</v>
      </c>
      <c r="G691" s="3">
        <v>4907.41</v>
      </c>
      <c r="H691" s="3">
        <v>5217.49</v>
      </c>
      <c r="I691" s="3" t="s">
        <v>41</v>
      </c>
      <c r="J691" s="3">
        <v>11</v>
      </c>
      <c r="K691" s="5">
        <f>actual_vs_target_sales_dataset[[#This Row],[Sales_ Amount]]/actual_vs_target_sales_dataset[[#This Row],[Sales_Target]]</f>
        <v>0.94056912423406658</v>
      </c>
    </row>
    <row r="692" spans="1:11" x14ac:dyDescent="0.3">
      <c r="A692" s="2">
        <v>45252</v>
      </c>
      <c r="B692" s="3" t="s">
        <v>20</v>
      </c>
      <c r="C692" s="3" t="s">
        <v>25</v>
      </c>
      <c r="D692" s="3" t="s">
        <v>15</v>
      </c>
      <c r="E692" s="3" t="s">
        <v>19</v>
      </c>
      <c r="F692" s="3" t="s">
        <v>11</v>
      </c>
      <c r="G692" s="3">
        <v>9193</v>
      </c>
      <c r="H692" s="3">
        <v>10705.94</v>
      </c>
      <c r="I692" s="3" t="s">
        <v>41</v>
      </c>
      <c r="J692" s="3">
        <v>11</v>
      </c>
      <c r="K692" s="5">
        <f>actual_vs_target_sales_dataset[[#This Row],[Sales_ Amount]]/actual_vs_target_sales_dataset[[#This Row],[Sales_Target]]</f>
        <v>0.85868218951348496</v>
      </c>
    </row>
    <row r="693" spans="1:11" x14ac:dyDescent="0.3">
      <c r="A693" s="2">
        <v>45253</v>
      </c>
      <c r="B693" s="3" t="s">
        <v>7</v>
      </c>
      <c r="C693" s="3" t="s">
        <v>22</v>
      </c>
      <c r="D693" s="3" t="s">
        <v>15</v>
      </c>
      <c r="E693" s="3" t="s">
        <v>21</v>
      </c>
      <c r="F693" s="3" t="s">
        <v>27</v>
      </c>
      <c r="G693" s="3">
        <v>16145.19</v>
      </c>
      <c r="H693" s="3">
        <v>17485.64</v>
      </c>
      <c r="I693" s="3" t="s">
        <v>41</v>
      </c>
      <c r="J693" s="3">
        <v>11</v>
      </c>
      <c r="K693" s="5">
        <f>actual_vs_target_sales_dataset[[#This Row],[Sales_ Amount]]/actual_vs_target_sales_dataset[[#This Row],[Sales_Target]]</f>
        <v>0.92333995209783581</v>
      </c>
    </row>
    <row r="694" spans="1:11" x14ac:dyDescent="0.3">
      <c r="A694" s="2">
        <v>45254</v>
      </c>
      <c r="B694" s="3" t="s">
        <v>13</v>
      </c>
      <c r="C694" s="3" t="s">
        <v>14</v>
      </c>
      <c r="D694" s="3" t="s">
        <v>9</v>
      </c>
      <c r="E694" s="3" t="s">
        <v>19</v>
      </c>
      <c r="F694" s="3" t="s">
        <v>26</v>
      </c>
      <c r="G694" s="3">
        <v>4814.63</v>
      </c>
      <c r="H694" s="3">
        <v>4911.0600000000004</v>
      </c>
      <c r="I694" s="3" t="s">
        <v>41</v>
      </c>
      <c r="J694" s="3">
        <v>11</v>
      </c>
      <c r="K694" s="5">
        <f>actual_vs_target_sales_dataset[[#This Row],[Sales_ Amount]]/actual_vs_target_sales_dataset[[#This Row],[Sales_Target]]</f>
        <v>0.98036472777770989</v>
      </c>
    </row>
    <row r="695" spans="1:11" x14ac:dyDescent="0.3">
      <c r="A695" s="2">
        <v>45255</v>
      </c>
      <c r="B695" s="3" t="s">
        <v>13</v>
      </c>
      <c r="C695" s="3" t="s">
        <v>22</v>
      </c>
      <c r="D695" s="3" t="s">
        <v>9</v>
      </c>
      <c r="E695" s="3" t="s">
        <v>19</v>
      </c>
      <c r="F695" s="3" t="s">
        <v>28</v>
      </c>
      <c r="G695" s="3">
        <v>-1395.08</v>
      </c>
      <c r="H695" s="3">
        <v>-1433.85</v>
      </c>
      <c r="I695" s="3" t="s">
        <v>41</v>
      </c>
      <c r="J695" s="3">
        <v>11</v>
      </c>
      <c r="K695" s="5">
        <f>actual_vs_target_sales_dataset[[#This Row],[Sales_ Amount]]/actual_vs_target_sales_dataset[[#This Row],[Sales_Target]]</f>
        <v>0.97296090943962066</v>
      </c>
    </row>
    <row r="696" spans="1:11" x14ac:dyDescent="0.3">
      <c r="A696" s="2">
        <v>45256</v>
      </c>
      <c r="B696" s="3" t="s">
        <v>17</v>
      </c>
      <c r="C696" s="3" t="s">
        <v>25</v>
      </c>
      <c r="D696" s="3" t="s">
        <v>9</v>
      </c>
      <c r="E696" s="3" t="s">
        <v>10</v>
      </c>
      <c r="F696" s="3" t="s">
        <v>31</v>
      </c>
      <c r="G696" s="3">
        <v>11998.56</v>
      </c>
      <c r="H696" s="3">
        <v>12269.68</v>
      </c>
      <c r="I696" s="3" t="s">
        <v>41</v>
      </c>
      <c r="J696" s="3">
        <v>11</v>
      </c>
      <c r="K696" s="5">
        <f>actual_vs_target_sales_dataset[[#This Row],[Sales_ Amount]]/actual_vs_target_sales_dataset[[#This Row],[Sales_Target]]</f>
        <v>0.97790325420059854</v>
      </c>
    </row>
    <row r="697" spans="1:11" x14ac:dyDescent="0.3">
      <c r="A697" s="2">
        <v>45257</v>
      </c>
      <c r="B697" s="3" t="s">
        <v>23</v>
      </c>
      <c r="C697" s="3" t="s">
        <v>25</v>
      </c>
      <c r="D697" s="3" t="s">
        <v>9</v>
      </c>
      <c r="E697" s="3" t="s">
        <v>10</v>
      </c>
      <c r="F697" s="3" t="s">
        <v>31</v>
      </c>
      <c r="G697" s="3">
        <v>5017.9799999999996</v>
      </c>
      <c r="H697" s="3">
        <v>5582.62</v>
      </c>
      <c r="I697" s="3" t="s">
        <v>41</v>
      </c>
      <c r="J697" s="3">
        <v>11</v>
      </c>
      <c r="K697" s="5">
        <f>actual_vs_target_sales_dataset[[#This Row],[Sales_ Amount]]/actual_vs_target_sales_dataset[[#This Row],[Sales_Target]]</f>
        <v>0.89885752567790744</v>
      </c>
    </row>
    <row r="698" spans="1:11" x14ac:dyDescent="0.3">
      <c r="A698" s="2">
        <v>45258</v>
      </c>
      <c r="B698" s="3" t="s">
        <v>23</v>
      </c>
      <c r="C698" s="3" t="s">
        <v>22</v>
      </c>
      <c r="D698" s="3" t="s">
        <v>18</v>
      </c>
      <c r="E698" s="3" t="s">
        <v>19</v>
      </c>
      <c r="F698" s="3" t="s">
        <v>11</v>
      </c>
      <c r="G698" s="3">
        <v>-1835.72</v>
      </c>
      <c r="H698" s="3">
        <v>-1936.58</v>
      </c>
      <c r="I698" s="3" t="s">
        <v>41</v>
      </c>
      <c r="J698" s="3">
        <v>11</v>
      </c>
      <c r="K698" s="5">
        <f>actual_vs_target_sales_dataset[[#This Row],[Sales_ Amount]]/actual_vs_target_sales_dataset[[#This Row],[Sales_Target]]</f>
        <v>0.94791849549205309</v>
      </c>
    </row>
    <row r="699" spans="1:11" x14ac:dyDescent="0.3">
      <c r="A699" s="2">
        <v>45259</v>
      </c>
      <c r="B699" s="3" t="s">
        <v>7</v>
      </c>
      <c r="C699" s="3" t="s">
        <v>14</v>
      </c>
      <c r="D699" s="3" t="s">
        <v>18</v>
      </c>
      <c r="E699" s="3" t="s">
        <v>21</v>
      </c>
      <c r="F699" s="3" t="s">
        <v>29</v>
      </c>
      <c r="G699" s="3">
        <v>-3391.3</v>
      </c>
      <c r="H699" s="3">
        <v>-2936.82</v>
      </c>
      <c r="I699" s="3" t="s">
        <v>41</v>
      </c>
      <c r="J699" s="3">
        <v>11</v>
      </c>
      <c r="K699" s="5">
        <f>actual_vs_target_sales_dataset[[#This Row],[Sales_ Amount]]/actual_vs_target_sales_dataset[[#This Row],[Sales_Target]]</f>
        <v>1.1547524192834426</v>
      </c>
    </row>
    <row r="700" spans="1:11" x14ac:dyDescent="0.3">
      <c r="A700" s="2">
        <v>45260</v>
      </c>
      <c r="B700" s="3" t="s">
        <v>23</v>
      </c>
      <c r="C700" s="3" t="s">
        <v>22</v>
      </c>
      <c r="D700" s="3" t="s">
        <v>24</v>
      </c>
      <c r="E700" s="3" t="s">
        <v>21</v>
      </c>
      <c r="F700" s="3" t="s">
        <v>29</v>
      </c>
      <c r="G700" s="3">
        <v>3582.29</v>
      </c>
      <c r="H700" s="3">
        <v>2915.56</v>
      </c>
      <c r="I700" s="3" t="s">
        <v>41</v>
      </c>
      <c r="J700" s="3">
        <v>11</v>
      </c>
      <c r="K700" s="5">
        <f>actual_vs_target_sales_dataset[[#This Row],[Sales_ Amount]]/actual_vs_target_sales_dataset[[#This Row],[Sales_Target]]</f>
        <v>1.2286799105489168</v>
      </c>
    </row>
    <row r="701" spans="1:11" x14ac:dyDescent="0.3">
      <c r="A701" s="2">
        <v>45261</v>
      </c>
      <c r="B701" s="3" t="s">
        <v>23</v>
      </c>
      <c r="C701" s="3" t="s">
        <v>14</v>
      </c>
      <c r="D701" s="3" t="s">
        <v>9</v>
      </c>
      <c r="E701" s="3" t="s">
        <v>21</v>
      </c>
      <c r="F701" s="3" t="s">
        <v>11</v>
      </c>
      <c r="G701" s="3">
        <v>-2890.86</v>
      </c>
      <c r="H701" s="3">
        <v>-3009.04</v>
      </c>
      <c r="I701" s="3" t="s">
        <v>42</v>
      </c>
      <c r="J701" s="3">
        <v>12</v>
      </c>
      <c r="K701" s="5">
        <f>actual_vs_target_sales_dataset[[#This Row],[Sales_ Amount]]/actual_vs_target_sales_dataset[[#This Row],[Sales_Target]]</f>
        <v>0.96072501528726773</v>
      </c>
    </row>
    <row r="702" spans="1:11" x14ac:dyDescent="0.3">
      <c r="A702" s="2">
        <v>45262</v>
      </c>
      <c r="B702" s="3" t="s">
        <v>20</v>
      </c>
      <c r="C702" s="3" t="s">
        <v>25</v>
      </c>
      <c r="D702" s="3" t="s">
        <v>15</v>
      </c>
      <c r="E702" s="3" t="s">
        <v>19</v>
      </c>
      <c r="F702" s="3" t="s">
        <v>11</v>
      </c>
      <c r="G702" s="3">
        <v>4891.66</v>
      </c>
      <c r="H702" s="3">
        <v>4932.54</v>
      </c>
      <c r="I702" s="3" t="s">
        <v>42</v>
      </c>
      <c r="J702" s="3">
        <v>12</v>
      </c>
      <c r="K702" s="5">
        <f>actual_vs_target_sales_dataset[[#This Row],[Sales_ Amount]]/actual_vs_target_sales_dataset[[#This Row],[Sales_Target]]</f>
        <v>0.99171218074257883</v>
      </c>
    </row>
    <row r="703" spans="1:11" x14ac:dyDescent="0.3">
      <c r="A703" s="2">
        <v>45263</v>
      </c>
      <c r="B703" s="3" t="s">
        <v>17</v>
      </c>
      <c r="C703" s="3" t="s">
        <v>8</v>
      </c>
      <c r="D703" s="3" t="s">
        <v>15</v>
      </c>
      <c r="E703" s="3" t="s">
        <v>19</v>
      </c>
      <c r="F703" s="3" t="s">
        <v>30</v>
      </c>
      <c r="G703" s="3">
        <v>-285.08999999999997</v>
      </c>
      <c r="H703" s="3">
        <v>-277.7</v>
      </c>
      <c r="I703" s="3" t="s">
        <v>42</v>
      </c>
      <c r="J703" s="3">
        <v>12</v>
      </c>
      <c r="K703" s="5">
        <f>actual_vs_target_sales_dataset[[#This Row],[Sales_ Amount]]/actual_vs_target_sales_dataset[[#This Row],[Sales_Target]]</f>
        <v>1.0266114512063378</v>
      </c>
    </row>
    <row r="704" spans="1:11" x14ac:dyDescent="0.3">
      <c r="A704" s="2">
        <v>45264</v>
      </c>
      <c r="B704" s="3" t="s">
        <v>20</v>
      </c>
      <c r="C704" s="3" t="s">
        <v>22</v>
      </c>
      <c r="D704" s="3" t="s">
        <v>15</v>
      </c>
      <c r="E704" s="3" t="s">
        <v>19</v>
      </c>
      <c r="F704" s="3" t="s">
        <v>29</v>
      </c>
      <c r="G704" s="3">
        <v>7153.91</v>
      </c>
      <c r="H704" s="3">
        <v>7054.45</v>
      </c>
      <c r="I704" s="3" t="s">
        <v>42</v>
      </c>
      <c r="J704" s="3">
        <v>12</v>
      </c>
      <c r="K704" s="5">
        <f>actual_vs_target_sales_dataset[[#This Row],[Sales_ Amount]]/actual_vs_target_sales_dataset[[#This Row],[Sales_Target]]</f>
        <v>1.0140989021114333</v>
      </c>
    </row>
    <row r="705" spans="1:11" x14ac:dyDescent="0.3">
      <c r="A705" s="2">
        <v>45265</v>
      </c>
      <c r="B705" s="3" t="s">
        <v>7</v>
      </c>
      <c r="C705" s="3" t="s">
        <v>14</v>
      </c>
      <c r="D705" s="3" t="s">
        <v>18</v>
      </c>
      <c r="E705" s="3" t="s">
        <v>21</v>
      </c>
      <c r="F705" s="3" t="s">
        <v>16</v>
      </c>
      <c r="G705" s="3">
        <v>5603.06</v>
      </c>
      <c r="H705" s="3">
        <v>6390.01</v>
      </c>
      <c r="I705" s="3" t="s">
        <v>42</v>
      </c>
      <c r="J705" s="3">
        <v>12</v>
      </c>
      <c r="K705" s="5">
        <f>actual_vs_target_sales_dataset[[#This Row],[Sales_ Amount]]/actual_vs_target_sales_dataset[[#This Row],[Sales_Target]]</f>
        <v>0.87684682809573067</v>
      </c>
    </row>
    <row r="706" spans="1:11" x14ac:dyDescent="0.3">
      <c r="A706" s="2">
        <v>45266</v>
      </c>
      <c r="B706" s="3" t="s">
        <v>13</v>
      </c>
      <c r="C706" s="3" t="s">
        <v>8</v>
      </c>
      <c r="D706" s="3" t="s">
        <v>18</v>
      </c>
      <c r="E706" s="3" t="s">
        <v>21</v>
      </c>
      <c r="F706" s="3" t="s">
        <v>26</v>
      </c>
      <c r="G706" s="3">
        <v>10112.57</v>
      </c>
      <c r="H706" s="3">
        <v>9856.36</v>
      </c>
      <c r="I706" s="3" t="s">
        <v>42</v>
      </c>
      <c r="J706" s="3">
        <v>12</v>
      </c>
      <c r="K706" s="5">
        <f>actual_vs_target_sales_dataset[[#This Row],[Sales_ Amount]]/actual_vs_target_sales_dataset[[#This Row],[Sales_Target]]</f>
        <v>1.0259943833220377</v>
      </c>
    </row>
    <row r="707" spans="1:11" x14ac:dyDescent="0.3">
      <c r="A707" s="2">
        <v>45267</v>
      </c>
      <c r="B707" s="3" t="s">
        <v>13</v>
      </c>
      <c r="C707" s="3" t="s">
        <v>14</v>
      </c>
      <c r="D707" s="3" t="s">
        <v>24</v>
      </c>
      <c r="E707" s="3" t="s">
        <v>21</v>
      </c>
      <c r="F707" s="3" t="s">
        <v>27</v>
      </c>
      <c r="G707" s="3">
        <v>20647.37</v>
      </c>
      <c r="H707" s="3">
        <v>19693.849999999999</v>
      </c>
      <c r="I707" s="3" t="s">
        <v>42</v>
      </c>
      <c r="J707" s="3">
        <v>12</v>
      </c>
      <c r="K707" s="5">
        <f>actual_vs_target_sales_dataset[[#This Row],[Sales_ Amount]]/actual_vs_target_sales_dataset[[#This Row],[Sales_Target]]</f>
        <v>1.0484171454540376</v>
      </c>
    </row>
    <row r="708" spans="1:11" x14ac:dyDescent="0.3">
      <c r="A708" s="2">
        <v>45268</v>
      </c>
      <c r="B708" s="3" t="s">
        <v>13</v>
      </c>
      <c r="C708" s="3" t="s">
        <v>8</v>
      </c>
      <c r="D708" s="3" t="s">
        <v>18</v>
      </c>
      <c r="E708" s="3" t="s">
        <v>10</v>
      </c>
      <c r="F708" s="3" t="s">
        <v>16</v>
      </c>
      <c r="G708" s="3">
        <v>1366.8</v>
      </c>
      <c r="H708" s="3">
        <v>1420.42</v>
      </c>
      <c r="I708" s="3" t="s">
        <v>42</v>
      </c>
      <c r="J708" s="3">
        <v>12</v>
      </c>
      <c r="K708" s="5">
        <f>actual_vs_target_sales_dataset[[#This Row],[Sales_ Amount]]/actual_vs_target_sales_dataset[[#This Row],[Sales_Target]]</f>
        <v>0.96225060193463896</v>
      </c>
    </row>
    <row r="709" spans="1:11" x14ac:dyDescent="0.3">
      <c r="A709" s="2">
        <v>45269</v>
      </c>
      <c r="B709" s="3" t="s">
        <v>20</v>
      </c>
      <c r="C709" s="3" t="s">
        <v>25</v>
      </c>
      <c r="D709" s="3" t="s">
        <v>18</v>
      </c>
      <c r="E709" s="3" t="s">
        <v>10</v>
      </c>
      <c r="F709" s="3" t="s">
        <v>27</v>
      </c>
      <c r="G709" s="3">
        <v>11100.72</v>
      </c>
      <c r="H709" s="3">
        <v>10507.4</v>
      </c>
      <c r="I709" s="3" t="s">
        <v>42</v>
      </c>
      <c r="J709" s="3">
        <v>12</v>
      </c>
      <c r="K709" s="5">
        <f>actual_vs_target_sales_dataset[[#This Row],[Sales_ Amount]]/actual_vs_target_sales_dataset[[#This Row],[Sales_Target]]</f>
        <v>1.0564668709671279</v>
      </c>
    </row>
    <row r="710" spans="1:11" x14ac:dyDescent="0.3">
      <c r="A710" s="2">
        <v>45270</v>
      </c>
      <c r="B710" s="3" t="s">
        <v>13</v>
      </c>
      <c r="C710" s="3" t="s">
        <v>25</v>
      </c>
      <c r="D710" s="3" t="s">
        <v>18</v>
      </c>
      <c r="E710" s="3" t="s">
        <v>21</v>
      </c>
      <c r="F710" s="3" t="s">
        <v>28</v>
      </c>
      <c r="G710" s="3">
        <v>1863.34</v>
      </c>
      <c r="H710" s="3">
        <v>1813.34</v>
      </c>
      <c r="I710" s="3" t="s">
        <v>42</v>
      </c>
      <c r="J710" s="3">
        <v>12</v>
      </c>
      <c r="K710" s="5">
        <f>actual_vs_target_sales_dataset[[#This Row],[Sales_ Amount]]/actual_vs_target_sales_dataset[[#This Row],[Sales_Target]]</f>
        <v>1.0275734280388675</v>
      </c>
    </row>
    <row r="711" spans="1:11" x14ac:dyDescent="0.3">
      <c r="A711" s="2">
        <v>45271</v>
      </c>
      <c r="B711" s="3" t="s">
        <v>7</v>
      </c>
      <c r="C711" s="3" t="s">
        <v>25</v>
      </c>
      <c r="D711" s="3" t="s">
        <v>24</v>
      </c>
      <c r="E711" s="3" t="s">
        <v>10</v>
      </c>
      <c r="F711" s="3" t="s">
        <v>30</v>
      </c>
      <c r="G711" s="3">
        <v>3186.52</v>
      </c>
      <c r="H711" s="3">
        <v>3236.89</v>
      </c>
      <c r="I711" s="3" t="s">
        <v>42</v>
      </c>
      <c r="J711" s="3">
        <v>12</v>
      </c>
      <c r="K711" s="5">
        <f>actual_vs_target_sales_dataset[[#This Row],[Sales_ Amount]]/actual_vs_target_sales_dataset[[#This Row],[Sales_Target]]</f>
        <v>0.98443876684101095</v>
      </c>
    </row>
    <row r="712" spans="1:11" x14ac:dyDescent="0.3">
      <c r="A712" s="2">
        <v>45272</v>
      </c>
      <c r="B712" s="3" t="s">
        <v>20</v>
      </c>
      <c r="C712" s="3" t="s">
        <v>8</v>
      </c>
      <c r="D712" s="3" t="s">
        <v>15</v>
      </c>
      <c r="E712" s="3" t="s">
        <v>10</v>
      </c>
      <c r="F712" s="3" t="s">
        <v>16</v>
      </c>
      <c r="G712" s="3">
        <v>276.47000000000003</v>
      </c>
      <c r="H712" s="3">
        <v>275.94</v>
      </c>
      <c r="I712" s="3" t="s">
        <v>42</v>
      </c>
      <c r="J712" s="3">
        <v>12</v>
      </c>
      <c r="K712" s="5">
        <f>actual_vs_target_sales_dataset[[#This Row],[Sales_ Amount]]/actual_vs_target_sales_dataset[[#This Row],[Sales_Target]]</f>
        <v>1.0019207074001595</v>
      </c>
    </row>
    <row r="713" spans="1:11" x14ac:dyDescent="0.3">
      <c r="A713" s="2">
        <v>45273</v>
      </c>
      <c r="B713" s="3" t="s">
        <v>20</v>
      </c>
      <c r="C713" s="3" t="s">
        <v>14</v>
      </c>
      <c r="D713" s="3" t="s">
        <v>18</v>
      </c>
      <c r="E713" s="3" t="s">
        <v>21</v>
      </c>
      <c r="F713" s="3" t="s">
        <v>11</v>
      </c>
      <c r="G713" s="3">
        <v>6304.01</v>
      </c>
      <c r="H713" s="3">
        <v>6540.9</v>
      </c>
      <c r="I713" s="3" t="s">
        <v>42</v>
      </c>
      <c r="J713" s="3">
        <v>12</v>
      </c>
      <c r="K713" s="5">
        <f>actual_vs_target_sales_dataset[[#This Row],[Sales_ Amount]]/actual_vs_target_sales_dataset[[#This Row],[Sales_Target]]</f>
        <v>0.96378327141524878</v>
      </c>
    </row>
    <row r="714" spans="1:11" x14ac:dyDescent="0.3">
      <c r="A714" s="2">
        <v>45274</v>
      </c>
      <c r="B714" s="3" t="s">
        <v>20</v>
      </c>
      <c r="C714" s="3" t="s">
        <v>25</v>
      </c>
      <c r="D714" s="3" t="s">
        <v>18</v>
      </c>
      <c r="E714" s="3" t="s">
        <v>19</v>
      </c>
      <c r="F714" s="3" t="s">
        <v>31</v>
      </c>
      <c r="G714" s="3">
        <v>3725.81</v>
      </c>
      <c r="H714" s="3">
        <v>3717.05</v>
      </c>
      <c r="I714" s="3" t="s">
        <v>42</v>
      </c>
      <c r="J714" s="3">
        <v>12</v>
      </c>
      <c r="K714" s="5">
        <f>actual_vs_target_sales_dataset[[#This Row],[Sales_ Amount]]/actual_vs_target_sales_dataset[[#This Row],[Sales_Target]]</f>
        <v>1.0023567076041484</v>
      </c>
    </row>
    <row r="715" spans="1:11" x14ac:dyDescent="0.3">
      <c r="A715" s="2">
        <v>45275</v>
      </c>
      <c r="B715" s="3" t="s">
        <v>7</v>
      </c>
      <c r="C715" s="3" t="s">
        <v>22</v>
      </c>
      <c r="D715" s="3" t="s">
        <v>18</v>
      </c>
      <c r="E715" s="3" t="s">
        <v>10</v>
      </c>
      <c r="F715" s="3" t="s">
        <v>28</v>
      </c>
      <c r="G715" s="3">
        <v>7233.04</v>
      </c>
      <c r="H715" s="3">
        <v>7554.1</v>
      </c>
      <c r="I715" s="3" t="s">
        <v>42</v>
      </c>
      <c r="J715" s="3">
        <v>12</v>
      </c>
      <c r="K715" s="5">
        <f>actual_vs_target_sales_dataset[[#This Row],[Sales_ Amount]]/actual_vs_target_sales_dataset[[#This Row],[Sales_Target]]</f>
        <v>0.95749857693173235</v>
      </c>
    </row>
    <row r="716" spans="1:11" x14ac:dyDescent="0.3">
      <c r="A716" s="2">
        <v>45276</v>
      </c>
      <c r="B716" s="3" t="s">
        <v>17</v>
      </c>
      <c r="C716" s="3" t="s">
        <v>22</v>
      </c>
      <c r="D716" s="3" t="s">
        <v>24</v>
      </c>
      <c r="E716" s="3" t="s">
        <v>10</v>
      </c>
      <c r="F716" s="3" t="s">
        <v>27</v>
      </c>
      <c r="G716" s="3">
        <v>3079.24</v>
      </c>
      <c r="H716" s="3">
        <v>3134.79</v>
      </c>
      <c r="I716" s="3" t="s">
        <v>42</v>
      </c>
      <c r="J716" s="3">
        <v>12</v>
      </c>
      <c r="K716" s="5">
        <f>actual_vs_target_sales_dataset[[#This Row],[Sales_ Amount]]/actual_vs_target_sales_dataset[[#This Row],[Sales_Target]]</f>
        <v>0.98227951473623432</v>
      </c>
    </row>
    <row r="717" spans="1:11" x14ac:dyDescent="0.3">
      <c r="A717" s="2">
        <v>45277</v>
      </c>
      <c r="B717" s="3" t="s">
        <v>20</v>
      </c>
      <c r="C717" s="3" t="s">
        <v>22</v>
      </c>
      <c r="D717" s="3" t="s">
        <v>15</v>
      </c>
      <c r="E717" s="3" t="s">
        <v>10</v>
      </c>
      <c r="F717" s="3" t="s">
        <v>31</v>
      </c>
      <c r="G717" s="3">
        <v>-79.069999999999993</v>
      </c>
      <c r="H717" s="3">
        <v>-77.650000000000006</v>
      </c>
      <c r="I717" s="3" t="s">
        <v>42</v>
      </c>
      <c r="J717" s="3">
        <v>12</v>
      </c>
      <c r="K717" s="5">
        <f>actual_vs_target_sales_dataset[[#This Row],[Sales_ Amount]]/actual_vs_target_sales_dataset[[#This Row],[Sales_Target]]</f>
        <v>1.0182871860914358</v>
      </c>
    </row>
    <row r="718" spans="1:11" x14ac:dyDescent="0.3">
      <c r="A718" s="2">
        <v>45278</v>
      </c>
      <c r="B718" s="3" t="s">
        <v>20</v>
      </c>
      <c r="C718" s="3" t="s">
        <v>14</v>
      </c>
      <c r="D718" s="3" t="s">
        <v>24</v>
      </c>
      <c r="E718" s="3" t="s">
        <v>19</v>
      </c>
      <c r="F718" s="3" t="s">
        <v>26</v>
      </c>
      <c r="G718" s="3">
        <v>4778.7</v>
      </c>
      <c r="H718" s="3">
        <v>4776.99</v>
      </c>
      <c r="I718" s="3" t="s">
        <v>42</v>
      </c>
      <c r="J718" s="3">
        <v>12</v>
      </c>
      <c r="K718" s="5">
        <f>actual_vs_target_sales_dataset[[#This Row],[Sales_ Amount]]/actual_vs_target_sales_dataset[[#This Row],[Sales_Target]]</f>
        <v>1.0003579659995101</v>
      </c>
    </row>
    <row r="719" spans="1:11" x14ac:dyDescent="0.3">
      <c r="A719" s="2">
        <v>45279</v>
      </c>
      <c r="B719" s="3" t="s">
        <v>7</v>
      </c>
      <c r="C719" s="3" t="s">
        <v>8</v>
      </c>
      <c r="D719" s="3" t="s">
        <v>9</v>
      </c>
      <c r="E719" s="3" t="s">
        <v>10</v>
      </c>
      <c r="F719" s="3" t="s">
        <v>30</v>
      </c>
      <c r="G719" s="3">
        <v>14084.34</v>
      </c>
      <c r="H719" s="3">
        <v>15115.55</v>
      </c>
      <c r="I719" s="3" t="s">
        <v>42</v>
      </c>
      <c r="J719" s="3">
        <v>12</v>
      </c>
      <c r="K719" s="5">
        <f>actual_vs_target_sales_dataset[[#This Row],[Sales_ Amount]]/actual_vs_target_sales_dataset[[#This Row],[Sales_Target]]</f>
        <v>0.93177820191789251</v>
      </c>
    </row>
    <row r="720" spans="1:11" x14ac:dyDescent="0.3">
      <c r="A720" s="2">
        <v>45280</v>
      </c>
      <c r="B720" s="3" t="s">
        <v>17</v>
      </c>
      <c r="C720" s="3" t="s">
        <v>14</v>
      </c>
      <c r="D720" s="3" t="s">
        <v>9</v>
      </c>
      <c r="E720" s="3" t="s">
        <v>21</v>
      </c>
      <c r="F720" s="3" t="s">
        <v>27</v>
      </c>
      <c r="G720" s="3">
        <v>-3650.92</v>
      </c>
      <c r="H720" s="3">
        <v>-3593.81</v>
      </c>
      <c r="I720" s="3" t="s">
        <v>42</v>
      </c>
      <c r="J720" s="3">
        <v>12</v>
      </c>
      <c r="K720" s="5">
        <f>actual_vs_target_sales_dataset[[#This Row],[Sales_ Amount]]/actual_vs_target_sales_dataset[[#This Row],[Sales_Target]]</f>
        <v>1.0158912129467057</v>
      </c>
    </row>
    <row r="721" spans="1:11" x14ac:dyDescent="0.3">
      <c r="A721" s="2">
        <v>45281</v>
      </c>
      <c r="B721" s="3" t="s">
        <v>13</v>
      </c>
      <c r="C721" s="3" t="s">
        <v>25</v>
      </c>
      <c r="D721" s="3" t="s">
        <v>15</v>
      </c>
      <c r="E721" s="3" t="s">
        <v>10</v>
      </c>
      <c r="F721" s="3" t="s">
        <v>11</v>
      </c>
      <c r="G721" s="3">
        <v>5487.78</v>
      </c>
      <c r="H721" s="3">
        <v>4793.2</v>
      </c>
      <c r="I721" s="3" t="s">
        <v>42</v>
      </c>
      <c r="J721" s="3">
        <v>12</v>
      </c>
      <c r="K721" s="5">
        <f>actual_vs_target_sales_dataset[[#This Row],[Sales_ Amount]]/actual_vs_target_sales_dataset[[#This Row],[Sales_Target]]</f>
        <v>1.1449094550613368</v>
      </c>
    </row>
    <row r="722" spans="1:11" x14ac:dyDescent="0.3">
      <c r="A722" s="2">
        <v>45282</v>
      </c>
      <c r="B722" s="3" t="s">
        <v>23</v>
      </c>
      <c r="C722" s="3" t="s">
        <v>14</v>
      </c>
      <c r="D722" s="3" t="s">
        <v>9</v>
      </c>
      <c r="E722" s="3" t="s">
        <v>19</v>
      </c>
      <c r="F722" s="3" t="s">
        <v>26</v>
      </c>
      <c r="G722" s="3">
        <v>6384.31</v>
      </c>
      <c r="H722" s="3">
        <v>5870.15</v>
      </c>
      <c r="I722" s="3" t="s">
        <v>42</v>
      </c>
      <c r="J722" s="3">
        <v>12</v>
      </c>
      <c r="K722" s="5">
        <f>actual_vs_target_sales_dataset[[#This Row],[Sales_ Amount]]/actual_vs_target_sales_dataset[[#This Row],[Sales_Target]]</f>
        <v>1.0875889031796464</v>
      </c>
    </row>
    <row r="723" spans="1:11" x14ac:dyDescent="0.3">
      <c r="A723" s="2">
        <v>45283</v>
      </c>
      <c r="B723" s="3" t="s">
        <v>17</v>
      </c>
      <c r="C723" s="3" t="s">
        <v>22</v>
      </c>
      <c r="D723" s="3" t="s">
        <v>24</v>
      </c>
      <c r="E723" s="3" t="s">
        <v>10</v>
      </c>
      <c r="F723" s="3" t="s">
        <v>30</v>
      </c>
      <c r="G723" s="3">
        <v>9901.1200000000008</v>
      </c>
      <c r="H723" s="3">
        <v>8621.14</v>
      </c>
      <c r="I723" s="3" t="s">
        <v>42</v>
      </c>
      <c r="J723" s="3">
        <v>12</v>
      </c>
      <c r="K723" s="5">
        <f>actual_vs_target_sales_dataset[[#This Row],[Sales_ Amount]]/actual_vs_target_sales_dataset[[#This Row],[Sales_Target]]</f>
        <v>1.148469923931174</v>
      </c>
    </row>
    <row r="724" spans="1:11" x14ac:dyDescent="0.3">
      <c r="A724" s="2">
        <v>45284</v>
      </c>
      <c r="B724" s="3" t="s">
        <v>20</v>
      </c>
      <c r="C724" s="3" t="s">
        <v>22</v>
      </c>
      <c r="D724" s="3" t="s">
        <v>24</v>
      </c>
      <c r="E724" s="3" t="s">
        <v>19</v>
      </c>
      <c r="F724" s="3" t="s">
        <v>29</v>
      </c>
      <c r="G724" s="3">
        <v>15329.81</v>
      </c>
      <c r="H724" s="3">
        <v>14863.76</v>
      </c>
      <c r="I724" s="3" t="s">
        <v>42</v>
      </c>
      <c r="J724" s="3">
        <v>12</v>
      </c>
      <c r="K724" s="5">
        <f>actual_vs_target_sales_dataset[[#This Row],[Sales_ Amount]]/actual_vs_target_sales_dataset[[#This Row],[Sales_Target]]</f>
        <v>1.0313547850611151</v>
      </c>
    </row>
    <row r="725" spans="1:11" x14ac:dyDescent="0.3">
      <c r="A725" s="2">
        <v>45285</v>
      </c>
      <c r="B725" s="3" t="s">
        <v>17</v>
      </c>
      <c r="C725" s="3" t="s">
        <v>8</v>
      </c>
      <c r="D725" s="3" t="s">
        <v>18</v>
      </c>
      <c r="E725" s="3" t="s">
        <v>19</v>
      </c>
      <c r="F725" s="3" t="s">
        <v>29</v>
      </c>
      <c r="G725" s="3">
        <v>12288.12</v>
      </c>
      <c r="H725" s="3">
        <v>12693.2</v>
      </c>
      <c r="I725" s="3" t="s">
        <v>42</v>
      </c>
      <c r="J725" s="3">
        <v>12</v>
      </c>
      <c r="K725" s="5">
        <f>actual_vs_target_sales_dataset[[#This Row],[Sales_ Amount]]/actual_vs_target_sales_dataset[[#This Row],[Sales_Target]]</f>
        <v>0.96808684965178204</v>
      </c>
    </row>
    <row r="726" spans="1:11" x14ac:dyDescent="0.3">
      <c r="A726" s="2">
        <v>45286</v>
      </c>
      <c r="B726" s="3" t="s">
        <v>7</v>
      </c>
      <c r="C726" s="3" t="s">
        <v>25</v>
      </c>
      <c r="D726" s="3" t="s">
        <v>24</v>
      </c>
      <c r="E726" s="3" t="s">
        <v>19</v>
      </c>
      <c r="F726" s="3" t="s">
        <v>28</v>
      </c>
      <c r="G726" s="3">
        <v>3582.7</v>
      </c>
      <c r="H726" s="3">
        <v>3518.07</v>
      </c>
      <c r="I726" s="3" t="s">
        <v>42</v>
      </c>
      <c r="J726" s="3">
        <v>12</v>
      </c>
      <c r="K726" s="5">
        <f>actual_vs_target_sales_dataset[[#This Row],[Sales_ Amount]]/actual_vs_target_sales_dataset[[#This Row],[Sales_Target]]</f>
        <v>1.0183708681180306</v>
      </c>
    </row>
    <row r="727" spans="1:11" x14ac:dyDescent="0.3">
      <c r="A727" s="2">
        <v>45287</v>
      </c>
      <c r="B727" s="3" t="s">
        <v>20</v>
      </c>
      <c r="C727" s="3" t="s">
        <v>8</v>
      </c>
      <c r="D727" s="3" t="s">
        <v>15</v>
      </c>
      <c r="E727" s="3" t="s">
        <v>10</v>
      </c>
      <c r="F727" s="3" t="s">
        <v>28</v>
      </c>
      <c r="G727" s="3">
        <v>15568.36</v>
      </c>
      <c r="H727" s="3">
        <v>16482.96</v>
      </c>
      <c r="I727" s="3" t="s">
        <v>42</v>
      </c>
      <c r="J727" s="3">
        <v>12</v>
      </c>
      <c r="K727" s="5">
        <f>actual_vs_target_sales_dataset[[#This Row],[Sales_ Amount]]/actual_vs_target_sales_dataset[[#This Row],[Sales_Target]]</f>
        <v>0.9445123934050681</v>
      </c>
    </row>
    <row r="728" spans="1:11" x14ac:dyDescent="0.3">
      <c r="A728" s="2">
        <v>45288</v>
      </c>
      <c r="B728" s="3" t="s">
        <v>20</v>
      </c>
      <c r="C728" s="3" t="s">
        <v>8</v>
      </c>
      <c r="D728" s="3" t="s">
        <v>9</v>
      </c>
      <c r="E728" s="3" t="s">
        <v>19</v>
      </c>
      <c r="F728" s="3" t="s">
        <v>28</v>
      </c>
      <c r="G728" s="3">
        <v>-2728.69</v>
      </c>
      <c r="H728" s="3">
        <v>-2846.21</v>
      </c>
      <c r="I728" s="3" t="s">
        <v>42</v>
      </c>
      <c r="J728" s="3">
        <v>12</v>
      </c>
      <c r="K728" s="5">
        <f>actual_vs_target_sales_dataset[[#This Row],[Sales_ Amount]]/actual_vs_target_sales_dataset[[#This Row],[Sales_Target]]</f>
        <v>0.95871000382965421</v>
      </c>
    </row>
    <row r="729" spans="1:11" x14ac:dyDescent="0.3">
      <c r="A729" s="2">
        <v>45289</v>
      </c>
      <c r="B729" s="3" t="s">
        <v>23</v>
      </c>
      <c r="C729" s="3" t="s">
        <v>25</v>
      </c>
      <c r="D729" s="3" t="s">
        <v>15</v>
      </c>
      <c r="E729" s="3" t="s">
        <v>10</v>
      </c>
      <c r="F729" s="3" t="s">
        <v>30</v>
      </c>
      <c r="G729" s="3">
        <v>3804.63</v>
      </c>
      <c r="H729" s="3">
        <v>3922.28</v>
      </c>
      <c r="I729" s="3" t="s">
        <v>42</v>
      </c>
      <c r="J729" s="3">
        <v>12</v>
      </c>
      <c r="K729" s="5">
        <f>actual_vs_target_sales_dataset[[#This Row],[Sales_ Amount]]/actual_vs_target_sales_dataset[[#This Row],[Sales_Target]]</f>
        <v>0.97000469114902554</v>
      </c>
    </row>
    <row r="730" spans="1:11" x14ac:dyDescent="0.3">
      <c r="A730" s="2">
        <v>45290</v>
      </c>
      <c r="B730" s="3" t="s">
        <v>13</v>
      </c>
      <c r="C730" s="3" t="s">
        <v>8</v>
      </c>
      <c r="D730" s="3" t="s">
        <v>15</v>
      </c>
      <c r="E730" s="3" t="s">
        <v>10</v>
      </c>
      <c r="F730" s="3" t="s">
        <v>16</v>
      </c>
      <c r="G730" s="3">
        <v>2026.18</v>
      </c>
      <c r="H730" s="3">
        <v>2204.63</v>
      </c>
      <c r="I730" s="3" t="s">
        <v>42</v>
      </c>
      <c r="J730" s="3">
        <v>12</v>
      </c>
      <c r="K730" s="5">
        <f>actual_vs_target_sales_dataset[[#This Row],[Sales_ Amount]]/actual_vs_target_sales_dataset[[#This Row],[Sales_Target]]</f>
        <v>0.91905671246422305</v>
      </c>
    </row>
    <row r="731" spans="1:11" x14ac:dyDescent="0.3">
      <c r="A731" s="2">
        <v>45291</v>
      </c>
      <c r="B731" s="3" t="s">
        <v>23</v>
      </c>
      <c r="C731" s="3" t="s">
        <v>22</v>
      </c>
      <c r="D731" s="3" t="s">
        <v>15</v>
      </c>
      <c r="E731" s="3" t="s">
        <v>19</v>
      </c>
      <c r="F731" s="3" t="s">
        <v>31</v>
      </c>
      <c r="G731" s="3">
        <v>19904.32</v>
      </c>
      <c r="H731" s="3">
        <v>19955.91</v>
      </c>
      <c r="I731" s="3" t="s">
        <v>42</v>
      </c>
      <c r="J731" s="3">
        <v>12</v>
      </c>
      <c r="K731" s="5">
        <f>actual_vs_target_sales_dataset[[#This Row],[Sales_ Amount]]/actual_vs_target_sales_dataset[[#This Row],[Sales_Target]]</f>
        <v>0.9974148009286472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41F3A7-3518-48F4-827F-6EDB98026D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 Data</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Nonhle Miya</dc:creator>
  <cp:lastModifiedBy>Nonhle Miya</cp:lastModifiedBy>
  <dcterms:created xsi:type="dcterms:W3CDTF">2025-12-03T12:44:16Z</dcterms:created>
  <dcterms:modified xsi:type="dcterms:W3CDTF">2025-12-04T00:20:23Z</dcterms:modified>
</cp:coreProperties>
</file>